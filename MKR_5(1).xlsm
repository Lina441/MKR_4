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8_{712656C8-3628-45B3-86A3-02355F80061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ro=const" sheetId="1" r:id="rId1"/>
    <sheet name="ro=var" sheetId="2" r:id="rId2"/>
    <sheet name="M=1.5 (const)" sheetId="3" r:id="rId3"/>
    <sheet name="M=1.5 (var)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4" l="1"/>
  <c r="Q13" i="4"/>
  <c r="Q17" i="4" s="1"/>
  <c r="P13" i="4"/>
  <c r="P17" i="4" s="1"/>
  <c r="P18" i="4" s="1"/>
  <c r="P19" i="4" s="1"/>
  <c r="P21" i="4" s="1"/>
  <c r="O13" i="4"/>
  <c r="O17" i="4" s="1"/>
  <c r="O18" i="4" s="1"/>
  <c r="N13" i="4"/>
  <c r="N17" i="4" s="1"/>
  <c r="N18" i="4" s="1"/>
  <c r="N19" i="4" s="1"/>
  <c r="N21" i="4" s="1"/>
  <c r="M13" i="4"/>
  <c r="L13" i="4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H17" i="4" s="1"/>
  <c r="H18" i="4" s="1"/>
  <c r="H19" i="4" s="1"/>
  <c r="H21" i="4" s="1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I3" i="4"/>
  <c r="J3" i="4" s="1"/>
  <c r="H3" i="4"/>
  <c r="H4" i="4" s="1"/>
  <c r="Q15" i="3"/>
  <c r="P15" i="3"/>
  <c r="O15" i="3"/>
  <c r="N15" i="3"/>
  <c r="M15" i="3"/>
  <c r="L15" i="3"/>
  <c r="K15" i="3"/>
  <c r="J15" i="3"/>
  <c r="I15" i="3"/>
  <c r="H15" i="3"/>
  <c r="G15" i="3"/>
  <c r="Q14" i="3"/>
  <c r="Q13" i="3"/>
  <c r="Q17" i="3" s="1"/>
  <c r="Q18" i="3" s="1"/>
  <c r="P13" i="3"/>
  <c r="O13" i="3"/>
  <c r="N13" i="3"/>
  <c r="N17" i="3" s="1"/>
  <c r="N18" i="3" s="1"/>
  <c r="M13" i="3"/>
  <c r="M17" i="3" s="1"/>
  <c r="M18" i="3" s="1"/>
  <c r="L13" i="3"/>
  <c r="L17" i="3" s="1"/>
  <c r="L18" i="3" s="1"/>
  <c r="K13" i="3"/>
  <c r="K17" i="3" s="1"/>
  <c r="K18" i="3" s="1"/>
  <c r="K19" i="3" s="1"/>
  <c r="J13" i="3"/>
  <c r="J17" i="3" s="1"/>
  <c r="J18" i="3" s="1"/>
  <c r="I13" i="3"/>
  <c r="I17" i="3" s="1"/>
  <c r="I18" i="3" s="1"/>
  <c r="I19" i="3" s="1"/>
  <c r="H13" i="3"/>
  <c r="H17" i="3" s="1"/>
  <c r="H18" i="3" s="1"/>
  <c r="H19" i="3" s="1"/>
  <c r="H10" i="3"/>
  <c r="Q4" i="3"/>
  <c r="H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N17" i="2"/>
  <c r="N18" i="2" s="1"/>
  <c r="N19" i="2" s="1"/>
  <c r="N21" i="2" s="1"/>
  <c r="M17" i="2"/>
  <c r="M18" i="2" s="1"/>
  <c r="Q14" i="2"/>
  <c r="Q13" i="2"/>
  <c r="Q17" i="2" s="1"/>
  <c r="Q18" i="2" s="1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I3" i="2" s="1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P13" i="1"/>
  <c r="O13" i="1"/>
  <c r="N13" i="1"/>
  <c r="N17" i="1" s="1"/>
  <c r="N18" i="1" s="1"/>
  <c r="M13" i="1"/>
  <c r="L13" i="1"/>
  <c r="L17" i="1" s="1"/>
  <c r="L18" i="1" s="1"/>
  <c r="K13" i="1"/>
  <c r="K17" i="1" s="1"/>
  <c r="K18" i="1" s="1"/>
  <c r="J13" i="1"/>
  <c r="I13" i="1"/>
  <c r="I17" i="1" s="1"/>
  <c r="I18" i="1" s="1"/>
  <c r="H13" i="1"/>
  <c r="H17" i="1" s="1"/>
  <c r="H18" i="1" s="1"/>
  <c r="Q4" i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H3" i="1"/>
  <c r="H4" i="1" s="1"/>
  <c r="N19" i="1" l="1"/>
  <c r="I19" i="1"/>
  <c r="J17" i="1"/>
  <c r="J18" i="1" s="1"/>
  <c r="J19" i="1" s="1"/>
  <c r="M17" i="1"/>
  <c r="M18" i="1" s="1"/>
  <c r="M19" i="1" s="1"/>
  <c r="K19" i="1"/>
  <c r="L17" i="4"/>
  <c r="L18" i="4" s="1"/>
  <c r="L19" i="4" s="1"/>
  <c r="L21" i="4" s="1"/>
  <c r="I3" i="1"/>
  <c r="I4" i="1" s="1"/>
  <c r="I10" i="1" s="1"/>
  <c r="H19" i="1"/>
  <c r="L19" i="1"/>
  <c r="G10" i="3"/>
  <c r="O17" i="3"/>
  <c r="O18" i="3" s="1"/>
  <c r="O19" i="3" s="1"/>
  <c r="M17" i="4"/>
  <c r="M18" i="4" s="1"/>
  <c r="M19" i="4" s="1"/>
  <c r="M21" i="4" s="1"/>
  <c r="G13" i="3"/>
  <c r="P17" i="3"/>
  <c r="P18" i="3" s="1"/>
  <c r="P19" i="3" s="1"/>
  <c r="Q19" i="3"/>
  <c r="Q10" i="2"/>
  <c r="Q10" i="3"/>
  <c r="M19" i="2"/>
  <c r="M21" i="2" s="1"/>
  <c r="M20" i="2" s="1"/>
  <c r="L19" i="2"/>
  <c r="L21" i="2" s="1"/>
  <c r="L20" i="2" s="1"/>
  <c r="G13" i="4"/>
  <c r="H10" i="4"/>
  <c r="K3" i="4"/>
  <c r="J4" i="4"/>
  <c r="J10" i="4" s="1"/>
  <c r="P22" i="4"/>
  <c r="P20" i="4"/>
  <c r="Q15" i="4"/>
  <c r="Q18" i="4"/>
  <c r="H20" i="4"/>
  <c r="H22" i="4"/>
  <c r="N20" i="4"/>
  <c r="N22" i="4"/>
  <c r="J20" i="4"/>
  <c r="J22" i="4"/>
  <c r="O19" i="4"/>
  <c r="O21" i="4" s="1"/>
  <c r="I11" i="4"/>
  <c r="I14" i="4" s="1"/>
  <c r="Q19" i="4"/>
  <c r="Q21" i="4" s="1"/>
  <c r="Q10" i="4"/>
  <c r="I4" i="4"/>
  <c r="I10" i="4" s="1"/>
  <c r="I19" i="4"/>
  <c r="I21" i="4" s="1"/>
  <c r="K19" i="4"/>
  <c r="K21" i="4" s="1"/>
  <c r="G14" i="3"/>
  <c r="G17" i="3"/>
  <c r="G18" i="3" s="1"/>
  <c r="G19" i="3" s="1"/>
  <c r="I4" i="3"/>
  <c r="I10" i="3" s="1"/>
  <c r="H11" i="3" s="1"/>
  <c r="H14" i="3" s="1"/>
  <c r="J3" i="3"/>
  <c r="J19" i="3"/>
  <c r="L19" i="3"/>
  <c r="M19" i="3"/>
  <c r="N19" i="3"/>
  <c r="O22" i="2"/>
  <c r="O20" i="2"/>
  <c r="N20" i="2"/>
  <c r="N22" i="2"/>
  <c r="J3" i="2"/>
  <c r="I4" i="2"/>
  <c r="I10" i="2" s="1"/>
  <c r="Q19" i="2"/>
  <c r="Q21" i="2" s="1"/>
  <c r="H4" i="2"/>
  <c r="P17" i="2"/>
  <c r="P18" i="2" s="1"/>
  <c r="P19" i="2" s="1"/>
  <c r="P21" i="2" s="1"/>
  <c r="Q15" i="2"/>
  <c r="H19" i="2"/>
  <c r="H21" i="2" s="1"/>
  <c r="I19" i="2"/>
  <c r="I21" i="2" s="1"/>
  <c r="J19" i="2"/>
  <c r="J21" i="2" s="1"/>
  <c r="K19" i="2"/>
  <c r="K21" i="2" s="1"/>
  <c r="G13" i="1"/>
  <c r="H10" i="1"/>
  <c r="J3" i="1"/>
  <c r="O17" i="1"/>
  <c r="O18" i="1" s="1"/>
  <c r="O19" i="1" s="1"/>
  <c r="Q19" i="1"/>
  <c r="P17" i="1"/>
  <c r="P18" i="1" s="1"/>
  <c r="P19" i="1" s="1"/>
  <c r="Q10" i="1"/>
  <c r="H11" i="1" l="1"/>
  <c r="H14" i="1" s="1"/>
  <c r="M20" i="4"/>
  <c r="M22" i="4"/>
  <c r="L22" i="4"/>
  <c r="L20" i="4"/>
  <c r="M22" i="2"/>
  <c r="L22" i="2"/>
  <c r="Q20" i="4"/>
  <c r="Q22" i="4"/>
  <c r="Q23" i="4" s="1"/>
  <c r="I15" i="4"/>
  <c r="O22" i="4"/>
  <c r="O20" i="4"/>
  <c r="L3" i="4"/>
  <c r="K4" i="4"/>
  <c r="K10" i="4" s="1"/>
  <c r="K20" i="4"/>
  <c r="K22" i="4"/>
  <c r="I20" i="4"/>
  <c r="I22" i="4"/>
  <c r="I23" i="4" s="1"/>
  <c r="H11" i="4"/>
  <c r="H14" i="4" s="1"/>
  <c r="G14" i="4"/>
  <c r="G17" i="4"/>
  <c r="G18" i="4" s="1"/>
  <c r="G19" i="4" s="1"/>
  <c r="G21" i="4" s="1"/>
  <c r="G10" i="4"/>
  <c r="K3" i="3"/>
  <c r="J4" i="3"/>
  <c r="J10" i="3" s="1"/>
  <c r="I11" i="3" s="1"/>
  <c r="I14" i="3" s="1"/>
  <c r="K3" i="2"/>
  <c r="J4" i="2"/>
  <c r="J10" i="2" s="1"/>
  <c r="I20" i="2"/>
  <c r="I22" i="2"/>
  <c r="H20" i="2"/>
  <c r="H22" i="2"/>
  <c r="K20" i="2"/>
  <c r="K22" i="2"/>
  <c r="P22" i="2"/>
  <c r="P20" i="2"/>
  <c r="G13" i="2"/>
  <c r="H10" i="2"/>
  <c r="H11" i="2" s="1"/>
  <c r="H14" i="2" s="1"/>
  <c r="J20" i="2"/>
  <c r="J22" i="2"/>
  <c r="Q22" i="2"/>
  <c r="Q23" i="2" s="1"/>
  <c r="Q20" i="2"/>
  <c r="K3" i="1"/>
  <c r="J4" i="1"/>
  <c r="J10" i="1" s="1"/>
  <c r="G10" i="1"/>
  <c r="G14" i="1"/>
  <c r="G17" i="1"/>
  <c r="G18" i="1" s="1"/>
  <c r="G19" i="1" s="1"/>
  <c r="J11" i="4" l="1"/>
  <c r="J14" i="4" s="1"/>
  <c r="M3" i="4"/>
  <c r="L4" i="4"/>
  <c r="L10" i="4" s="1"/>
  <c r="G20" i="4"/>
  <c r="G22" i="4"/>
  <c r="G23" i="4" s="1"/>
  <c r="G15" i="4"/>
  <c r="H15" i="4"/>
  <c r="H23" i="4"/>
  <c r="L3" i="3"/>
  <c r="K4" i="3"/>
  <c r="K10" i="3" s="1"/>
  <c r="G14" i="2"/>
  <c r="G17" i="2"/>
  <c r="G18" i="2" s="1"/>
  <c r="G19" i="2" s="1"/>
  <c r="G21" i="2" s="1"/>
  <c r="G10" i="2"/>
  <c r="L3" i="2"/>
  <c r="K4" i="2"/>
  <c r="K10" i="2" s="1"/>
  <c r="H15" i="2"/>
  <c r="H23" i="2"/>
  <c r="I11" i="2"/>
  <c r="I14" i="2" s="1"/>
  <c r="I11" i="1"/>
  <c r="I14" i="1" s="1"/>
  <c r="K4" i="1"/>
  <c r="K10" i="1" s="1"/>
  <c r="L3" i="1"/>
  <c r="J15" i="4" l="1"/>
  <c r="J23" i="4"/>
  <c r="N3" i="4"/>
  <c r="M4" i="4"/>
  <c r="M10" i="4" s="1"/>
  <c r="K11" i="4"/>
  <c r="K14" i="4" s="1"/>
  <c r="M3" i="3"/>
  <c r="L4" i="3"/>
  <c r="L10" i="3" s="1"/>
  <c r="J11" i="3"/>
  <c r="J14" i="3" s="1"/>
  <c r="I15" i="2"/>
  <c r="I23" i="2"/>
  <c r="M3" i="2"/>
  <c r="L4" i="2"/>
  <c r="L10" i="2" s="1"/>
  <c r="J11" i="2"/>
  <c r="J14" i="2" s="1"/>
  <c r="G15" i="2"/>
  <c r="G20" i="2"/>
  <c r="G22" i="2"/>
  <c r="G23" i="2" s="1"/>
  <c r="M3" i="1"/>
  <c r="L4" i="1"/>
  <c r="L10" i="1" s="1"/>
  <c r="J11" i="1"/>
  <c r="J14" i="1" s="1"/>
  <c r="K23" i="4" l="1"/>
  <c r="K15" i="4"/>
  <c r="N4" i="4"/>
  <c r="N10" i="4" s="1"/>
  <c r="O3" i="4"/>
  <c r="L11" i="4"/>
  <c r="L14" i="4" s="1"/>
  <c r="N3" i="3"/>
  <c r="M4" i="3"/>
  <c r="M10" i="3" s="1"/>
  <c r="L11" i="3" s="1"/>
  <c r="L14" i="3" s="1"/>
  <c r="K11" i="3"/>
  <c r="K14" i="3" s="1"/>
  <c r="J15" i="2"/>
  <c r="J23" i="2"/>
  <c r="K11" i="2"/>
  <c r="K14" i="2" s="1"/>
  <c r="N3" i="2"/>
  <c r="M4" i="2"/>
  <c r="M10" i="2" s="1"/>
  <c r="K11" i="1"/>
  <c r="K14" i="1" s="1"/>
  <c r="N3" i="1"/>
  <c r="M4" i="1"/>
  <c r="M10" i="1" s="1"/>
  <c r="L23" i="4" l="1"/>
  <c r="L15" i="4"/>
  <c r="O4" i="4"/>
  <c r="O10" i="4" s="1"/>
  <c r="P3" i="4"/>
  <c r="P4" i="4" s="1"/>
  <c r="P10" i="4" s="1"/>
  <c r="P11" i="4" s="1"/>
  <c r="P14" i="4" s="1"/>
  <c r="M11" i="4"/>
  <c r="M14" i="4" s="1"/>
  <c r="O3" i="3"/>
  <c r="N4" i="3"/>
  <c r="N10" i="3" s="1"/>
  <c r="N4" i="2"/>
  <c r="N10" i="2" s="1"/>
  <c r="M11" i="2" s="1"/>
  <c r="M14" i="2" s="1"/>
  <c r="O3" i="2"/>
  <c r="K23" i="2"/>
  <c r="K15" i="2"/>
  <c r="L11" i="2"/>
  <c r="L14" i="2" s="1"/>
  <c r="O3" i="1"/>
  <c r="N4" i="1"/>
  <c r="N10" i="1" s="1"/>
  <c r="L11" i="1"/>
  <c r="L14" i="1" s="1"/>
  <c r="P23" i="4" l="1"/>
  <c r="P15" i="4"/>
  <c r="M23" i="4"/>
  <c r="M15" i="4"/>
  <c r="O11" i="4"/>
  <c r="O14" i="4" s="1"/>
  <c r="N11" i="4"/>
  <c r="N14" i="4" s="1"/>
  <c r="N11" i="3"/>
  <c r="N14" i="3" s="1"/>
  <c r="P3" i="3"/>
  <c r="P4" i="3" s="1"/>
  <c r="P10" i="3" s="1"/>
  <c r="P11" i="3" s="1"/>
  <c r="P14" i="3" s="1"/>
  <c r="O4" i="3"/>
  <c r="O10" i="3" s="1"/>
  <c r="M11" i="3"/>
  <c r="M14" i="3" s="1"/>
  <c r="O4" i="2"/>
  <c r="O10" i="2" s="1"/>
  <c r="N11" i="2" s="1"/>
  <c r="N14" i="2" s="1"/>
  <c r="P3" i="2"/>
  <c r="P4" i="2" s="1"/>
  <c r="P10" i="2" s="1"/>
  <c r="P11" i="2" s="1"/>
  <c r="P14" i="2" s="1"/>
  <c r="L23" i="2"/>
  <c r="L15" i="2"/>
  <c r="M23" i="2"/>
  <c r="M15" i="2"/>
  <c r="O4" i="1"/>
  <c r="O10" i="1" s="1"/>
  <c r="P3" i="1"/>
  <c r="P4" i="1" s="1"/>
  <c r="P10" i="1" s="1"/>
  <c r="P11" i="1" s="1"/>
  <c r="P14" i="1" s="1"/>
  <c r="M11" i="1"/>
  <c r="M14" i="1" s="1"/>
  <c r="O11" i="3" l="1"/>
  <c r="O14" i="3" s="1"/>
  <c r="N23" i="4"/>
  <c r="N15" i="4"/>
  <c r="O23" i="4"/>
  <c r="O15" i="4"/>
  <c r="P23" i="2"/>
  <c r="P15" i="2"/>
  <c r="N23" i="2"/>
  <c r="N15" i="2"/>
  <c r="O11" i="2"/>
  <c r="O14" i="2" s="1"/>
  <c r="O11" i="1"/>
  <c r="O14" i="1" s="1"/>
  <c r="N11" i="1"/>
  <c r="N14" i="1" s="1"/>
  <c r="O23" i="2" l="1"/>
  <c r="O15" i="2"/>
</calcChain>
</file>

<file path=xl/sharedStrings.xml><?xml version="1.0" encoding="utf-8"?>
<sst xmlns="http://schemas.openxmlformats.org/spreadsheetml/2006/main" count="106" uniqueCount="23">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</sst>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NumberFormat="1" applyBorder="1"/>
    <xf numFmtId="2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166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2" borderId="0" xfId="0" applyFill="1" applyBorder="1"/>
    <xf numFmtId="0" fontId="1" fillId="0" borderId="0" xfId="0" applyFont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0" fontId="0" fillId="3" borderId="1" xfId="0" applyNumberFormat="1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77-430A-AC6E-87597F9F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[1]const_p_135!$G$10:$Q$10</c:f>
              <c:numCache>
                <c:formatCode>General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4-4E51-8268-0B874305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1-41AB-991F-0C8F0BA4AB7D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[1]const_p_135!$S$25:$W$25</c:f>
              <c:numCache>
                <c:formatCode>General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1-41AB-991F-0C8F0BA4A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83-4987-9E67-5079D87F55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B83-4987-9E67-5079D87F5559}"/>
              </c:ext>
            </c:extLst>
          </c:dPt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[1]const_p_135!$S$24:$W$24</c:f>
              <c:numCache>
                <c:formatCode>General</c:formatCode>
                <c:ptCount val="5"/>
                <c:pt idx="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83-4987-9E67-5079D87F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[1]var_p_135!$G$3:$Q$3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E-4F4F-BD1D-BED826AD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 sz="1050"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[1]var_p_135!$G$10:$Q$10</c:f>
              <c:numCache>
                <c:formatCode>General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C6F-BB5E-250AF3BB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604904552982537"/>
          <c:y val="3.9659122314379316E-3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[1]var_p_135!$G$14:$Q$14</c:f>
              <c:numCache>
                <c:formatCode>General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2-4D53-818B-3806369E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[1]var_p_135!$G$13:$Q$13</c:f>
              <c:numCache>
                <c:formatCode>General</c:formatCode>
                <c:ptCount val="11"/>
                <c:pt idx="0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D-4808-A6F6-7F57C1F4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E3-4D44-B0EF-13B127488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'[1]M=1,5(const)'!$G$10:$Q$10</c:f>
              <c:numCache>
                <c:formatCode>General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E-4A8A-BD51-9318F04B0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B-4A1D-B12E-8A4F774AA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F-4002-B243-CEDCA5A4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'[1]M=1,5(var)'!$G$3:$Q$3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6-45B5-BC2A-D4CF3EAD9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'[1]M=1,5(var)'!$G$10:$Q$10</c:f>
              <c:numCache>
                <c:formatCode>General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CB-4FD1-BB76-21BD04B4D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326921773154738"/>
          <c:y val="3.3782878240268391E-2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'[1]M=1,5(var)'!$G$14:$Q$14</c:f>
              <c:numCache>
                <c:formatCode>General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8-43C0-99FF-21EF7E97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'[1]M=1,5(var)'!$G$13:$Q$13</c:f>
              <c:numCache>
                <c:formatCode>General</c:formatCode>
                <c:ptCount val="11"/>
                <c:pt idx="0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4-4A41-8D73-0885FD5E9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73478</xdr:rowOff>
    </xdr:from>
    <xdr:to>
      <xdr:col>15</xdr:col>
      <xdr:colOff>541020</xdr:colOff>
      <xdr:row>37</xdr:row>
      <xdr:rowOff>53339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351065</xdr:colOff>
      <xdr:row>38</xdr:row>
      <xdr:rowOff>65314</xdr:rowOff>
    </xdr:from>
    <xdr:to>
      <xdr:col>15</xdr:col>
      <xdr:colOff>582389</xdr:colOff>
      <xdr:row>54</xdr:row>
      <xdr:rowOff>27215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0.03076</cdr:y>
    </cdr:from>
    <cdr:to>
      <cdr:x>0.12221</cdr:x>
      <cdr:y>0.13557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88665"/>
          <a:ext cx="620745" cy="3021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0.88572</cdr:x>
      <cdr:y>0.85241</cdr:y>
    </cdr:from>
    <cdr:to>
      <cdr:x>0.973</cdr:x>
      <cdr:y>0.96563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98797" y="24571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0.63373</cdr:x>
      <cdr:y>0.14502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16622" y="30468"/>
          <a:ext cx="1702286" cy="38756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0.01152</cdr:y>
    </cdr:from>
    <cdr:to>
      <cdr:x>0.20098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33201"/>
          <a:ext cx="758455" cy="4071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G, </a:t>
          </a:r>
          <a:r>
            <a:rPr lang="ru-RU" sz="1600"/>
            <a:t>кг</a:t>
          </a:r>
          <a:r>
            <a:rPr lang="en-US" sz="1600"/>
            <a:t>/c</a:t>
          </a:r>
          <a:endParaRPr lang="ru-RU" sz="16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0.8809</cdr:x>
      <cdr:y>0.86253</cdr:y>
    </cdr:from>
    <cdr:to>
      <cdr:x>1</cdr:x>
      <cdr:y>0.97902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86896" y="2506475"/>
          <a:ext cx="457938" cy="33850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0.62961</cdr:x>
      <cdr:y>0.1504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0664" y="0"/>
          <a:ext cx="880076" cy="43706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0.00296</cdr:x>
      <cdr:y>0.00705</cdr:y>
    </cdr:from>
    <cdr:to>
      <cdr:x>0.11303</cdr:x>
      <cdr:y>0.12114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072" y="20380"/>
          <a:ext cx="560783" cy="32973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0.89776</cdr:x>
      <cdr:y>0.86041</cdr:y>
    </cdr:from>
    <cdr:to>
      <cdr:x>0.98504</cdr:x>
      <cdr:y>0.97363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3667" y="2486734"/>
          <a:ext cx="444649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0.4839</cdr:x>
      <cdr:y>0.05537</cdr:y>
    </cdr:from>
    <cdr:to>
      <cdr:x>0.67543</cdr:x>
      <cdr:y>0.18133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465254" y="160020"/>
          <a:ext cx="975721" cy="36406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0.19272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9" y="111820"/>
          <a:ext cx="726342" cy="3297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0.86569</cdr:x>
      <cdr:y>0.86305</cdr:y>
    </cdr:from>
    <cdr:to>
      <cdr:x>0.99412</cdr:x>
      <cdr:y>0.97627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66619" y="2494354"/>
          <a:ext cx="499442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0.38</cdr:x>
      <cdr:y>0.01582</cdr:y>
    </cdr:from>
    <cdr:to>
      <cdr:x>0.63751</cdr:x>
      <cdr:y>0.15362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477800" y="45720"/>
          <a:ext cx="1001421" cy="398261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42</xdr:row>
      <xdr:rowOff>141996</xdr:rowOff>
    </xdr:from>
    <xdr:to>
      <xdr:col>17</xdr:col>
      <xdr:colOff>444499</xdr:colOff>
      <xdr:row>61</xdr:row>
      <xdr:rowOff>169636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0.00804</cdr:y>
    </cdr:from>
    <cdr:to>
      <cdr:x>0.09955</cdr:x>
      <cdr:y>0.14145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688143C-34E8-4F65-ADEF-076AF2E738C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2860"/>
          <a:ext cx="524301" cy="37943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0.89813</cdr:x>
      <cdr:y>0.86214</cdr:y>
    </cdr:from>
    <cdr:to>
      <cdr:x>1</cdr:x>
      <cdr:y>0.99556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307FFDF6-201F-414D-9AB0-874C84A4F2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9972" y="2481943"/>
          <a:ext cx="53649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0.11239</cdr:x>
      <cdr:y>0.1082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85F654AA-DB75-44B8-86B8-E05CD73634E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91363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0.89785</cdr:x>
      <cdr:y>0.8918</cdr:y>
    </cdr:from>
    <cdr:to>
      <cdr:x>0.99981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B34D5D34-59EE-45AC-9494-AC56D90AB4F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4400" y="3165494"/>
          <a:ext cx="536494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0.01328</cdr:x>
      <cdr:y>0.01616</cdr:y>
    </cdr:from>
    <cdr:to>
      <cdr:x>0.1668</cdr:x>
      <cdr:y>0.16698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CC9BBED0-7402-49E9-AB02-EE8106C9E1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8580" y="45720"/>
          <a:ext cx="792549" cy="42675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0.87823</cdr:x>
      <cdr:y>0.85101</cdr:y>
    </cdr:from>
    <cdr:to>
      <cdr:x>0.97861</cdr:x>
      <cdr:y>0.98675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5A5ED5B-E113-4F52-AD8B-00333D14491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533900" y="2407920"/>
          <a:ext cx="518205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0.01618</cdr:x>
      <cdr:y>0.0087</cdr:y>
    </cdr:from>
    <cdr:to>
      <cdr:x>0.14794</cdr:x>
      <cdr:y>0.11837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83C739A4-EEAC-495F-95CD-89902793D94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3820" y="30480"/>
          <a:ext cx="68281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</cdr:x>
      <cdr:y>0.88332</cdr:y>
    </cdr:from>
    <cdr:to>
      <cdr:x>1</cdr:x>
      <cdr:y>0.99299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ADD7AC5A-5148-4FAE-BB35-1B63144A56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93720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16648</xdr:rowOff>
    </xdr:from>
    <xdr:to>
      <xdr:col>9</xdr:col>
      <xdr:colOff>1089</xdr:colOff>
      <xdr:row>36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0.11916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222" y="111525"/>
          <a:ext cx="575025" cy="3288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0.87972</cdr:x>
      <cdr:y>0.86563</cdr:y>
    </cdr:from>
    <cdr:to>
      <cdr:x>0.967</cdr:x>
      <cdr:y>0.97885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68317" y="24952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0.21562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306"/>
          <a:ext cx="815381" cy="3223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G, </a:t>
          </a:r>
          <a:r>
            <a:rPr lang="ru-RU" sz="1400"/>
            <a:t>кг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0.86799</cdr:x>
      <cdr:y>0.87409</cdr:y>
    </cdr:from>
    <cdr:to>
      <cdr:x>1</cdr:x>
      <cdr:y>0.98731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5533" y="2469440"/>
          <a:ext cx="513391" cy="3198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0.01475</cdr:x>
      <cdr:y>0.01973</cdr:y>
    </cdr:from>
    <cdr:to>
      <cdr:x>0.15761</cdr:x>
      <cdr:y>0.13382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5135" y="55951"/>
          <a:ext cx="727803" cy="32360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0.18915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739"/>
          <a:ext cx="712447" cy="3236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0.86687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1209" y="2515236"/>
          <a:ext cx="517715" cy="3211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0.02213</cdr:x>
      <cdr:y>0.0193</cdr:y>
    </cdr:from>
    <cdr:to>
      <cdr:x>0.12168</cdr:x>
      <cdr:y>0.15713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8AE6B16-F9E5-4FD7-BCA5-AF6E882C4E7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16541" y="53788"/>
          <a:ext cx="52430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0.89877</cdr:x>
      <cdr:y>0.86217</cdr:y>
    </cdr:from>
    <cdr:to>
      <cdr:x>0.99717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E084849-9911-454D-86F9-DFA92D333F5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33365" y="2402523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0.89274</cdr:x>
      <cdr:y>0.88821</cdr:y>
    </cdr:from>
    <cdr:to>
      <cdr:x>0.99122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4BADB1B9-5BC4-4CE2-A0C1-79B178B1354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97506" y="3051642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0.08007</cdr:x>
      <cdr:y>0.01305</cdr:y>
    </cdr:from>
    <cdr:to>
      <cdr:x>0.19246</cdr:x>
      <cdr:y>0.12484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9C5CB65-E61C-4F81-BCC3-19536ADF44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21341" y="44824"/>
          <a:ext cx="591363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0.8613</cdr:x>
      <cdr:y>0.85587</cdr:y>
    </cdr:from>
    <cdr:to>
      <cdr:x>0.96168</cdr:x>
      <cdr:y>0.99425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B9DAACE-B1B0-47B1-B68C-763D633F53A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446494" y="2375647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0.13462</cdr:x>
      <cdr:y>0.13837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15EB6CA1-9210-4601-BEA2-27F09BA453B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69500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</cdr:x>
      <cdr:y>0.88816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43AF64F-71EA-40A2-A3BB-4B706478318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50147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0.01038</cdr:x>
      <cdr:y>0.02088</cdr:y>
    </cdr:from>
    <cdr:to>
      <cdr:x>0.14215</cdr:x>
      <cdr:y>0.13272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6F83B267-F32E-4CFE-A51F-2D9BA7438D3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3788" y="71718"/>
          <a:ext cx="682811" cy="384081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1/Downloads/MKR5_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  <sheetName val="M=1,5(const)"/>
      <sheetName val="M=1,5(var)"/>
      <sheetName val="MKR5_111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  <row r="23">
          <cell r="S23">
            <v>0</v>
          </cell>
          <cell r="T23">
            <v>2.5000000000000001E-2</v>
          </cell>
          <cell r="U23">
            <v>0.05</v>
          </cell>
          <cell r="V23">
            <v>7.4999999999999997E-2</v>
          </cell>
          <cell r="W23">
            <v>0.1</v>
          </cell>
        </row>
        <row r="24">
          <cell r="S24">
            <v>62.6</v>
          </cell>
          <cell r="T24">
            <v>78.260000000000005</v>
          </cell>
          <cell r="U24">
            <v>106.77</v>
          </cell>
          <cell r="V24">
            <v>153.75</v>
          </cell>
          <cell r="W24">
            <v>238.13</v>
          </cell>
        </row>
        <row r="25">
          <cell r="S25">
            <v>132552</v>
          </cell>
          <cell r="T25">
            <v>131334</v>
          </cell>
          <cell r="U25">
            <v>128213</v>
          </cell>
          <cell r="V25">
            <v>120941</v>
          </cell>
          <cell r="W25">
            <v>101336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/>
      <sheetData sheetId="3"/>
      <sheetData sheetId="4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106.77346521740971</v>
          </cell>
          <cell r="H5">
            <v>118.30880602632858</v>
          </cell>
          <cell r="I5">
            <v>131.83543684838898</v>
          </cell>
          <cell r="J5">
            <v>147.82577804181702</v>
          </cell>
          <cell r="K5">
            <v>166.91248036802023</v>
          </cell>
          <cell r="L5">
            <v>189.94514290211384</v>
          </cell>
          <cell r="M5">
            <v>218.08663139815965</v>
          </cell>
          <cell r="N5">
            <v>252.96346633415229</v>
          </cell>
          <cell r="O5">
            <v>296.90787671612031</v>
          </cell>
          <cell r="P5">
            <v>353.36103997023986</v>
          </cell>
          <cell r="Q5">
            <v>427.57197830846815</v>
          </cell>
        </row>
        <row r="6">
          <cell r="G6">
            <v>211245.16057183896</v>
          </cell>
          <cell r="H6">
            <v>209627.88029721737</v>
          </cell>
          <cell r="I6">
            <v>207514.57687025546</v>
          </cell>
          <cell r="J6">
            <v>204713.35765700546</v>
          </cell>
          <cell r="K6">
            <v>200938.0193143356</v>
          </cell>
          <cell r="L6">
            <v>195753.54995743209</v>
          </cell>
          <cell r="M6">
            <v>188480.7162976643</v>
          </cell>
          <cell r="N6">
            <v>178025.8488447472</v>
          </cell>
          <cell r="O6">
            <v>162564.54158267644</v>
          </cell>
          <cell r="P6">
            <v>138925.69777259091</v>
          </cell>
          <cell r="Q6">
            <v>101325</v>
          </cell>
        </row>
        <row r="10">
          <cell r="G10">
            <v>2.5439728909582437</v>
          </cell>
          <cell r="H10">
            <v>2.5439784418729214</v>
          </cell>
          <cell r="I10">
            <v>2.544289303683049</v>
          </cell>
          <cell r="J10">
            <v>2.5447044495398883</v>
          </cell>
          <cell r="K10">
            <v>2.5451770625558776</v>
          </cell>
          <cell r="L10">
            <v>2.5456561547186798</v>
          </cell>
          <cell r="M10">
            <v>2.5460909585667735</v>
          </cell>
          <cell r="N10">
            <v>2.5464378453092893</v>
          </cell>
          <cell r="O10">
            <v>2.5466695876878793</v>
          </cell>
          <cell r="P10">
            <v>2.5467851863366322</v>
          </cell>
          <cell r="Q10">
            <v>2.5468154468156907</v>
          </cell>
        </row>
      </sheetData>
      <sheetData sheetId="5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3.7365151638484457</v>
          </cell>
          <cell r="H10">
            <v>3.7364813273297557</v>
          </cell>
          <cell r="I10">
            <v>3.7346488830186</v>
          </cell>
          <cell r="J10">
            <v>3.7338523992900572</v>
          </cell>
          <cell r="K10">
            <v>3.7340394825870904</v>
          </cell>
          <cell r="L10">
            <v>3.7350992126599238</v>
          </cell>
          <cell r="M10">
            <v>3.736846777463863</v>
          </cell>
          <cell r="N10">
            <v>3.7390113973563137</v>
          </cell>
          <cell r="O10">
            <v>3.7412347561835015</v>
          </cell>
          <cell r="P10">
            <v>3.7430922732157503</v>
          </cell>
          <cell r="Q10">
            <v>3.7441534079009555</v>
          </cell>
        </row>
        <row r="13">
          <cell r="G13">
            <v>44.279655388571626</v>
          </cell>
          <cell r="H13">
            <v>49.167076154097323</v>
          </cell>
          <cell r="I13">
            <v>54.907783128874669</v>
          </cell>
          <cell r="J13">
            <v>61.776160474409025</v>
          </cell>
          <cell r="K13">
            <v>70.105521972519099</v>
          </cell>
          <cell r="L13">
            <v>80.375609449287566</v>
          </cell>
          <cell r="M13">
            <v>93.311479205994601</v>
          </cell>
          <cell r="N13">
            <v>110.08948017821383</v>
          </cell>
          <cell r="O13">
            <v>132.8452587119364</v>
          </cell>
          <cell r="P13">
            <v>166.34474513447597</v>
          </cell>
          <cell r="Q13">
            <v>421.4106349888167</v>
          </cell>
        </row>
        <row r="14">
          <cell r="G14">
            <v>345885.55615800864</v>
          </cell>
          <cell r="H14">
            <v>344879.34946673375</v>
          </cell>
          <cell r="I14">
            <v>343563.01414328581</v>
          </cell>
          <cell r="J14">
            <v>341797.61866806471</v>
          </cell>
          <cell r="K14">
            <v>339380.4916916677</v>
          </cell>
          <cell r="L14">
            <v>335988.51902558975</v>
          </cell>
          <cell r="M14">
            <v>331081.64860489842</v>
          </cell>
          <cell r="N14">
            <v>323696.40292464499</v>
          </cell>
          <cell r="O14">
            <v>311934.15736079559</v>
          </cell>
          <cell r="P14">
            <v>291317.40253341687</v>
          </cell>
          <cell r="Q14">
            <v>101325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56"/>
  <sheetViews>
    <sheetView topLeftCell="A29" zoomScale="70" zoomScaleNormal="70" workbookViewId="0">
      <selection activeCell="V20" sqref="V20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6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6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57.351577333772866</v>
      </c>
      <c r="H5" s="2">
        <v>63.547627174263546</v>
      </c>
      <c r="I5" s="2">
        <v>70.815392104860791</v>
      </c>
      <c r="J5" s="2">
        <v>79.407212065467661</v>
      </c>
      <c r="K5" s="2">
        <v>89.662903725890061</v>
      </c>
      <c r="L5" s="2">
        <v>102.03877264272113</v>
      </c>
      <c r="M5" s="2">
        <v>117.15935095511514</v>
      </c>
      <c r="N5" s="2">
        <v>135.89820118616109</v>
      </c>
      <c r="O5" s="2">
        <v>159.5080018628307</v>
      </c>
      <c r="P5" s="2">
        <v>189.83728312594155</v>
      </c>
      <c r="Q5" s="2">
        <v>229.70605333866882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6" t="s">
        <v>7</v>
      </c>
      <c r="C6" s="26">
        <v>1.4</v>
      </c>
      <c r="D6" s="1"/>
      <c r="E6" s="1"/>
      <c r="F6" s="2" t="s">
        <v>8</v>
      </c>
      <c r="G6" s="2">
        <v>133051.14697206701</v>
      </c>
      <c r="H6" s="2">
        <v>132584.53388807373</v>
      </c>
      <c r="I6" s="2">
        <v>131974.61362475358</v>
      </c>
      <c r="J6" s="2">
        <v>131166.09860706743</v>
      </c>
      <c r="K6" s="2">
        <v>130076.37371459226</v>
      </c>
      <c r="L6" s="2">
        <v>128579.87965565237</v>
      </c>
      <c r="M6" s="2">
        <v>126480.58097536025</v>
      </c>
      <c r="N6" s="2">
        <v>123462.84640685459</v>
      </c>
      <c r="O6" s="2">
        <v>119000.16402785529</v>
      </c>
      <c r="P6" s="2">
        <v>112177.35765570958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6" t="s">
        <v>3</v>
      </c>
      <c r="C7" s="26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6" t="s">
        <v>10</v>
      </c>
      <c r="C8" s="26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5" t="s">
        <v>11</v>
      </c>
      <c r="C10" s="25">
        <v>135000</v>
      </c>
      <c r="D10" s="1"/>
      <c r="E10" s="1"/>
      <c r="F10" s="2" t="s">
        <v>12</v>
      </c>
      <c r="G10" s="4">
        <f>G4*G7*G13</f>
        <v>1.3664531512563074</v>
      </c>
      <c r="H10" s="4">
        <f t="shared" ref="H10:Q10" si="3">H4*H7*H13</f>
        <v>1.366456881882588</v>
      </c>
      <c r="I10" s="4">
        <f t="shared" si="3"/>
        <v>1.3666654750078038</v>
      </c>
      <c r="J10" s="4">
        <f t="shared" si="3"/>
        <v>1.3669333176986123</v>
      </c>
      <c r="K10" s="4">
        <f t="shared" si="3"/>
        <v>1.3672318223147826</v>
      </c>
      <c r="L10" s="4">
        <f t="shared" si="3"/>
        <v>1.3675301286654844</v>
      </c>
      <c r="M10" s="4">
        <f t="shared" si="3"/>
        <v>1.3677978389424867</v>
      </c>
      <c r="N10" s="5">
        <f t="shared" si="3"/>
        <v>1.3680092530576318</v>
      </c>
      <c r="O10" s="4">
        <f t="shared" si="3"/>
        <v>1.3681489520365575</v>
      </c>
      <c r="P10" s="4">
        <f t="shared" si="3"/>
        <v>1.3682175951309647</v>
      </c>
      <c r="Q10" s="4">
        <f t="shared" si="3"/>
        <v>1.3682349709031734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5" t="s">
        <v>13</v>
      </c>
      <c r="C11" s="25">
        <v>288.16000000000003</v>
      </c>
      <c r="D11" s="1"/>
      <c r="E11" s="1"/>
      <c r="F11" s="2" t="s">
        <v>14</v>
      </c>
      <c r="G11" s="2">
        <v>0</v>
      </c>
      <c r="H11" s="2">
        <f>H13*(H10-I10)</f>
        <v>-1.3255634342141337E-2</v>
      </c>
      <c r="I11" s="2">
        <f t="shared" ref="I11:P11" si="4">I13*(I10-J10)</f>
        <v>-1.8967443836525096E-2</v>
      </c>
      <c r="J11" s="2">
        <f t="shared" si="4"/>
        <v>-2.3703492069354636E-2</v>
      </c>
      <c r="K11" s="2">
        <f t="shared" si="4"/>
        <v>-2.674708674958283E-2</v>
      </c>
      <c r="L11" s="2">
        <f t="shared" si="4"/>
        <v>-2.7316888051906688E-2</v>
      </c>
      <c r="M11" s="2">
        <f t="shared" si="4"/>
        <v>-2.4769179243657808E-2</v>
      </c>
      <c r="N11" s="2">
        <f t="shared" si="4"/>
        <v>-1.8984858144494264E-2</v>
      </c>
      <c r="O11" s="2">
        <f t="shared" si="4"/>
        <v>-1.0949128115363856E-2</v>
      </c>
      <c r="P11" s="2">
        <f t="shared" si="4"/>
        <v>-3.2985700360549362E-3</v>
      </c>
      <c r="Q11" s="25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5" t="s">
        <v>8</v>
      </c>
      <c r="C12" s="2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5">
        <f>(H4*H5*H7)/(G4*G7)</f>
        <v>57.351733524772854</v>
      </c>
      <c r="H13" s="2">
        <f>((G6-H6)/H7+G5*H5)^0.5</f>
        <v>63.547800669013661</v>
      </c>
      <c r="I13" s="2">
        <f t="shared" ref="I13:Q13" si="5">((H6-I6)/I7+H5*I5)^0.5</f>
        <v>70.815611130816379</v>
      </c>
      <c r="J13" s="2">
        <f t="shared" si="5"/>
        <v>79.407455648291943</v>
      </c>
      <c r="K13" s="2">
        <f t="shared" si="5"/>
        <v>89.663148929464029</v>
      </c>
      <c r="L13" s="2">
        <f t="shared" si="5"/>
        <v>102.03899662644518</v>
      </c>
      <c r="M13" s="2">
        <f t="shared" si="5"/>
        <v>117.15953415251715</v>
      </c>
      <c r="N13" s="2">
        <f t="shared" si="5"/>
        <v>135.89833147303187</v>
      </c>
      <c r="O13" s="2">
        <f t="shared" si="5"/>
        <v>159.50807885212637</v>
      </c>
      <c r="P13" s="2">
        <f t="shared" si="5"/>
        <v>189.83732040520181</v>
      </c>
      <c r="Q13" s="2">
        <f t="shared" si="5"/>
        <v>229.70607482113465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5">
        <f>C10-(G7*G13^2)/2</f>
        <v>133051.13635705929</v>
      </c>
      <c r="H14" s="2">
        <f>H6+H11</f>
        <v>132584.52063243938</v>
      </c>
      <c r="I14" s="2">
        <f t="shared" ref="I14:Q14" si="6">I6+I11</f>
        <v>131974.59465730973</v>
      </c>
      <c r="J14" s="2">
        <f t="shared" si="6"/>
        <v>131166.07490357535</v>
      </c>
      <c r="K14" s="2">
        <f t="shared" si="6"/>
        <v>130076.34696750551</v>
      </c>
      <c r="L14" s="2">
        <f t="shared" si="6"/>
        <v>128579.85233876432</v>
      </c>
      <c r="M14" s="2">
        <f t="shared" si="6"/>
        <v>126480.55620618101</v>
      </c>
      <c r="N14" s="2">
        <f t="shared" si="6"/>
        <v>123462.82742199644</v>
      </c>
      <c r="O14" s="2">
        <f t="shared" si="6"/>
        <v>119000.15307872718</v>
      </c>
      <c r="P14" s="2">
        <f t="shared" si="6"/>
        <v>112177.35435713954</v>
      </c>
      <c r="Q14" s="25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5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286.52259391761424</v>
      </c>
      <c r="H17" s="2">
        <f t="shared" ref="H17:Q17" si="8">$C$11-(H13^2)/(2*$C$8)</f>
        <v>286.14968390587978</v>
      </c>
      <c r="I17" s="2">
        <f t="shared" si="8"/>
        <v>285.66355895070143</v>
      </c>
      <c r="J17" s="2">
        <f t="shared" si="8"/>
        <v>285.02103942028305</v>
      </c>
      <c r="K17" s="2">
        <f t="shared" si="8"/>
        <v>284.15786923738193</v>
      </c>
      <c r="L17" s="2">
        <f t="shared" si="8"/>
        <v>282.97682754254697</v>
      </c>
      <c r="M17" s="2">
        <f t="shared" si="8"/>
        <v>281.32688747369832</v>
      </c>
      <c r="N17" s="2">
        <f t="shared" si="8"/>
        <v>278.96627414518417</v>
      </c>
      <c r="O17" s="2">
        <f t="shared" si="8"/>
        <v>275.49431540268017</v>
      </c>
      <c r="P17" s="2">
        <f t="shared" si="8"/>
        <v>270.21983262712706</v>
      </c>
      <c r="Q17" s="2">
        <f t="shared" si="8"/>
        <v>261.89313380638555</v>
      </c>
      <c r="R17" s="1"/>
      <c r="S17" s="1"/>
      <c r="T17" s="3"/>
      <c r="U17" s="3"/>
      <c r="V17" s="3"/>
      <c r="W17" s="3"/>
      <c r="X17" s="3"/>
    </row>
    <row r="18" spans="1:25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339.28387310689527</v>
      </c>
      <c r="H18" s="2">
        <f t="shared" ref="H18:Q18" si="9">SQRT($C$7*$C$6*H17)</f>
        <v>339.06301173347322</v>
      </c>
      <c r="I18" s="2">
        <f t="shared" si="9"/>
        <v>338.7748809679976</v>
      </c>
      <c r="J18" s="2">
        <f t="shared" si="9"/>
        <v>338.39367726706189</v>
      </c>
      <c r="K18" s="2">
        <f t="shared" si="9"/>
        <v>337.88088562554992</v>
      </c>
      <c r="L18" s="2">
        <f t="shared" si="9"/>
        <v>337.17798951734039</v>
      </c>
      <c r="M18" s="2">
        <f t="shared" si="9"/>
        <v>336.19356830989943</v>
      </c>
      <c r="N18" s="2">
        <f t="shared" si="9"/>
        <v>334.78009718857021</v>
      </c>
      <c r="O18" s="2">
        <f t="shared" si="9"/>
        <v>332.6902712007568</v>
      </c>
      <c r="P18" s="2">
        <f t="shared" si="9"/>
        <v>329.49011537850521</v>
      </c>
      <c r="Q18" s="2">
        <f t="shared" si="9"/>
        <v>324.37385059921291</v>
      </c>
      <c r="R18" s="1"/>
      <c r="S18" s="1"/>
      <c r="T18" s="3"/>
      <c r="U18" s="3"/>
      <c r="V18" s="3"/>
      <c r="W18" s="3"/>
      <c r="X18" s="3"/>
    </row>
    <row r="19" spans="1:25" x14ac:dyDescent="0.3">
      <c r="A19" s="1"/>
      <c r="B19" s="1"/>
      <c r="C19" s="1"/>
      <c r="D19" s="1"/>
      <c r="E19" s="1"/>
      <c r="F19" s="2" t="s">
        <v>19</v>
      </c>
      <c r="G19" s="2">
        <f>G13/G18</f>
        <v>0.16903760558847292</v>
      </c>
      <c r="H19" s="2">
        <f t="shared" ref="H19:Q19" si="10">H13/H18</f>
        <v>0.18742180205420517</v>
      </c>
      <c r="I19" s="2">
        <f t="shared" si="10"/>
        <v>0.20903442111313436</v>
      </c>
      <c r="J19" s="2">
        <f t="shared" si="10"/>
        <v>0.2346599862314307</v>
      </c>
      <c r="K19" s="2">
        <f t="shared" si="10"/>
        <v>0.26536910711436784</v>
      </c>
      <c r="L19" s="2">
        <f t="shared" si="10"/>
        <v>0.30262650528437746</v>
      </c>
      <c r="M19" s="2">
        <f t="shared" si="10"/>
        <v>0.34848832695252757</v>
      </c>
      <c r="N19" s="2">
        <f t="shared" si="10"/>
        <v>0.40593312629479578</v>
      </c>
      <c r="O19" s="2">
        <f t="shared" si="10"/>
        <v>0.4794491833993958</v>
      </c>
      <c r="P19" s="2">
        <f t="shared" si="10"/>
        <v>0.57615482694260556</v>
      </c>
      <c r="Q19" s="2">
        <f t="shared" si="10"/>
        <v>0.70815225825633188</v>
      </c>
      <c r="R19" s="1"/>
      <c r="S19" s="1"/>
      <c r="T19" s="3"/>
      <c r="U19" s="3"/>
      <c r="V19" s="3"/>
      <c r="W19" s="3"/>
      <c r="X19" s="3"/>
    </row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7"/>
      <c r="S22" s="7"/>
      <c r="T22" s="7"/>
      <c r="U22" s="7"/>
      <c r="V22" s="7"/>
      <c r="W22" s="7"/>
      <c r="X22" s="7"/>
      <c r="Y22" s="8"/>
    </row>
    <row r="23" spans="1:2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7"/>
      <c r="S23" s="7"/>
      <c r="T23" s="9"/>
      <c r="U23" s="7"/>
      <c r="V23" s="9"/>
      <c r="W23" s="7"/>
      <c r="X23" s="7"/>
      <c r="Y23" s="8"/>
    </row>
    <row r="24" spans="1:2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7"/>
      <c r="S24" s="10"/>
      <c r="T24" s="7"/>
      <c r="U24" s="7"/>
      <c r="V24" s="7"/>
      <c r="W24" s="7"/>
      <c r="X24" s="7"/>
      <c r="Y24" s="8"/>
    </row>
    <row r="25" spans="1:2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7"/>
      <c r="S25" s="11"/>
      <c r="T25" s="11"/>
      <c r="U25" s="11"/>
      <c r="V25" s="11"/>
      <c r="W25" s="11"/>
      <c r="X25" s="7"/>
      <c r="Y25" s="8"/>
    </row>
    <row r="26" spans="1:2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7"/>
      <c r="S26" s="9"/>
      <c r="T26" s="7"/>
      <c r="U26" s="7"/>
      <c r="V26" s="7"/>
      <c r="W26" s="7"/>
      <c r="X26" s="8"/>
      <c r="Y26" s="8"/>
    </row>
    <row r="27" spans="1:2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"/>
      <c r="S27" s="8"/>
      <c r="T27" s="8"/>
      <c r="U27" s="8"/>
      <c r="V27" s="8"/>
      <c r="W27" s="8"/>
      <c r="X27" s="8"/>
      <c r="Y27" s="8"/>
    </row>
    <row r="28" spans="1:25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"/>
      <c r="S28" s="8"/>
      <c r="T28" s="8"/>
      <c r="U28" s="8"/>
      <c r="V28" s="8"/>
      <c r="W28" s="8"/>
      <c r="X28" s="8"/>
      <c r="Y28" s="8"/>
    </row>
    <row r="29" spans="1:25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5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5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5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AA42"/>
  <sheetViews>
    <sheetView tabSelected="1" zoomScale="70" zoomScaleNormal="70" workbookViewId="0">
      <selection activeCell="V13" sqref="V13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4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4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41.952458170366562</v>
      </c>
      <c r="H5" s="12">
        <v>46.572722315258261</v>
      </c>
      <c r="I5" s="12">
        <v>51.998998595347025</v>
      </c>
      <c r="J5" s="12">
        <v>58.481574269464545</v>
      </c>
      <c r="K5" s="12">
        <v>66.327200919066215</v>
      </c>
      <c r="L5" s="12">
        <v>75.973877099938278</v>
      </c>
      <c r="M5" s="12">
        <v>88.075946290190913</v>
      </c>
      <c r="N5" s="12">
        <v>103.67585204999334</v>
      </c>
      <c r="O5" s="12">
        <v>124.60693830892183</v>
      </c>
      <c r="P5" s="12">
        <v>154.70189233611086</v>
      </c>
      <c r="Q5" s="12">
        <v>205.86732315098098</v>
      </c>
    </row>
    <row r="6" spans="2:17" x14ac:dyDescent="0.3">
      <c r="B6" s="24" t="s">
        <v>7</v>
      </c>
      <c r="C6" s="24">
        <v>1.4</v>
      </c>
      <c r="F6" s="12" t="s">
        <v>8</v>
      </c>
      <c r="G6" s="12">
        <v>133574.20645422692</v>
      </c>
      <c r="H6" s="12">
        <v>133226.28716879166</v>
      </c>
      <c r="I6" s="12">
        <v>132771.1614403399</v>
      </c>
      <c r="J6" s="12">
        <v>132161.66801093385</v>
      </c>
      <c r="K6" s="12">
        <v>131328.88571868328</v>
      </c>
      <c r="L6" s="12">
        <v>130163.60851596277</v>
      </c>
      <c r="M6" s="12">
        <v>128484.90473201471</v>
      </c>
      <c r="N6" s="12">
        <v>125974.38540805619</v>
      </c>
      <c r="O6" s="12">
        <v>122019.7344116298</v>
      </c>
      <c r="P6" s="12">
        <v>115251.08218729163</v>
      </c>
      <c r="Q6" s="12">
        <v>101325</v>
      </c>
    </row>
    <row r="7" spans="2:17" x14ac:dyDescent="0.3">
      <c r="B7" s="24" t="s">
        <v>3</v>
      </c>
      <c r="C7" s="24">
        <v>286.97199999999998</v>
      </c>
      <c r="F7" s="12" t="s">
        <v>9</v>
      </c>
      <c r="G7" s="12">
        <v>1.6202120766536134</v>
      </c>
      <c r="H7" s="12">
        <v>1.617138055023114</v>
      </c>
      <c r="I7" s="12">
        <v>1.6131097716441272</v>
      </c>
      <c r="J7" s="12">
        <v>1.6077031930153689</v>
      </c>
      <c r="K7" s="12">
        <v>1.6002958497504662</v>
      </c>
      <c r="L7" s="12">
        <v>1.5898957190694107</v>
      </c>
      <c r="M7" s="12">
        <v>1.5748467970151123</v>
      </c>
      <c r="N7" s="12">
        <v>1.5522053888257903</v>
      </c>
      <c r="O7" s="12">
        <v>1.5162304142338905</v>
      </c>
      <c r="P7" s="12">
        <v>1.4538157117758432</v>
      </c>
      <c r="Q7" s="12">
        <v>1.3221013290732198</v>
      </c>
    </row>
    <row r="8" spans="2:17" x14ac:dyDescent="0.3">
      <c r="B8" s="24" t="s">
        <v>10</v>
      </c>
      <c r="C8" s="24">
        <v>1004.4</v>
      </c>
    </row>
    <row r="10" spans="2:17" x14ac:dyDescent="0.3">
      <c r="B10" s="22" t="s">
        <v>11</v>
      </c>
      <c r="C10" s="22">
        <v>135000</v>
      </c>
      <c r="F10" s="12" t="s">
        <v>12</v>
      </c>
      <c r="G10" s="13">
        <f t="shared" ref="G10:Q10" si="3">G4*G7*G13</f>
        <v>1.366645195577177</v>
      </c>
      <c r="H10" s="13">
        <f t="shared" si="3"/>
        <v>1.3666347344859844</v>
      </c>
      <c r="I10" s="13">
        <f t="shared" si="3"/>
        <v>1.3660677312876293</v>
      </c>
      <c r="J10" s="13">
        <f t="shared" si="3"/>
        <v>1.3658167470418781</v>
      </c>
      <c r="K10" s="13">
        <f t="shared" si="3"/>
        <v>1.3658483209918184</v>
      </c>
      <c r="L10" s="13">
        <f t="shared" si="3"/>
        <v>1.3661125638138347</v>
      </c>
      <c r="M10" s="13">
        <f t="shared" si="3"/>
        <v>1.3665415729811596</v>
      </c>
      <c r="N10" s="13">
        <f t="shared" si="3"/>
        <v>1.3670502324775375</v>
      </c>
      <c r="O10" s="13">
        <f t="shared" si="3"/>
        <v>1.3675415476349411</v>
      </c>
      <c r="P10" s="13">
        <f t="shared" si="3"/>
        <v>1.3679195404148627</v>
      </c>
      <c r="Q10" s="13">
        <f t="shared" si="3"/>
        <v>1.3681132042596771</v>
      </c>
    </row>
    <row r="11" spans="2:17" x14ac:dyDescent="0.3">
      <c r="B11" s="22" t="s">
        <v>13</v>
      </c>
      <c r="C11" s="22">
        <v>288.16000000000003</v>
      </c>
      <c r="F11" s="12" t="s">
        <v>14</v>
      </c>
      <c r="G11" s="14">
        <v>0</v>
      </c>
      <c r="H11" s="14">
        <f>(H13)*(H10-I10)</f>
        <v>2.6406680375334817E-2</v>
      </c>
      <c r="I11" s="14">
        <f t="shared" ref="I11:P11" si="4">(I13)*(I10-J10)</f>
        <v>1.3050883318935809E-2</v>
      </c>
      <c r="J11" s="14">
        <f t="shared" si="4"/>
        <v>-1.8464934745265399E-3</v>
      </c>
      <c r="K11" s="14">
        <f t="shared" si="4"/>
        <v>-1.7526515140232776E-2</v>
      </c>
      <c r="L11" s="14">
        <f t="shared" si="4"/>
        <v>-3.2593578471585345E-2</v>
      </c>
      <c r="M11" s="14">
        <f t="shared" si="4"/>
        <v>-4.4800799783623488E-2</v>
      </c>
      <c r="N11" s="14">
        <f t="shared" si="4"/>
        <v>-5.0937648111299527E-2</v>
      </c>
      <c r="O11" s="14">
        <f t="shared" si="4"/>
        <v>-4.7100604677384694E-2</v>
      </c>
      <c r="P11" s="14">
        <f t="shared" si="4"/>
        <v>-2.9960186970414304E-2</v>
      </c>
      <c r="Q11" s="22">
        <v>0</v>
      </c>
    </row>
    <row r="12" spans="2:17" x14ac:dyDescent="0.3">
      <c r="B12" s="22" t="s">
        <v>8</v>
      </c>
      <c r="C12" s="22">
        <v>101325</v>
      </c>
    </row>
    <row r="13" spans="2:17" x14ac:dyDescent="0.3">
      <c r="F13" s="12" t="s">
        <v>6</v>
      </c>
      <c r="G13" s="22">
        <f>(H4*H5*H7)/(G4*G7)</f>
        <v>41.952134974927866</v>
      </c>
      <c r="H13" s="15">
        <f t="shared" ref="H13:Q13" si="5">((G6-H6)/H7+G5*H5)^0.5</f>
        <v>46.572365820758591</v>
      </c>
      <c r="I13" s="15">
        <f t="shared" si="5"/>
        <v>51.99881482550407</v>
      </c>
      <c r="J13" s="15">
        <f t="shared" si="5"/>
        <v>58.481548175462336</v>
      </c>
      <c r="K13" s="15">
        <f t="shared" si="5"/>
        <v>66.327308369234387</v>
      </c>
      <c r="L13" s="15">
        <f t="shared" si="5"/>
        <v>75.974083898539305</v>
      </c>
      <c r="M13" s="15">
        <f t="shared" si="5"/>
        <v>88.076208352825077</v>
      </c>
      <c r="N13" s="15">
        <f t="shared" si="5"/>
        <v>103.67611774994239</v>
      </c>
      <c r="O13" s="15">
        <f t="shared" si="5"/>
        <v>124.60715436719285</v>
      </c>
      <c r="P13" s="15">
        <f t="shared" si="5"/>
        <v>154.70201471594376</v>
      </c>
      <c r="Q13" s="15">
        <f t="shared" si="5"/>
        <v>205.86733253631789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3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23">
        <f t="shared" si="6"/>
        <v>101325</v>
      </c>
    </row>
    <row r="15" spans="2:17" x14ac:dyDescent="0.3">
      <c r="F15" s="12" t="s">
        <v>9</v>
      </c>
      <c r="G15" s="13">
        <f>G14/($C$7*G17)</f>
        <v>1.6202122649570925</v>
      </c>
      <c r="H15" s="13">
        <f t="shared" ref="H15:Q15" si="7">H14/($C$7*H17)</f>
        <v>1.6171382824397458</v>
      </c>
      <c r="I15" s="13">
        <f t="shared" si="7"/>
        <v>1.613109876697655</v>
      </c>
      <c r="J15" s="13">
        <f t="shared" si="7"/>
        <v>1.6077031620263356</v>
      </c>
      <c r="K15" s="13">
        <f t="shared" si="7"/>
        <v>1.6002956758902236</v>
      </c>
      <c r="L15" s="13">
        <f t="shared" si="7"/>
        <v>1.5898954081272527</v>
      </c>
      <c r="M15" s="13">
        <f t="shared" si="7"/>
        <v>1.5748463751867776</v>
      </c>
      <c r="N15" s="13">
        <f t="shared" si="7"/>
        <v>1.5522049117211103</v>
      </c>
      <c r="O15" s="13">
        <f t="shared" si="7"/>
        <v>1.5162299738827569</v>
      </c>
      <c r="P15" s="13">
        <f t="shared" si="7"/>
        <v>1.453815433048117</v>
      </c>
      <c r="Q15" s="13">
        <f t="shared" si="7"/>
        <v>1.3221013385964215</v>
      </c>
    </row>
    <row r="17" spans="6:27" x14ac:dyDescent="0.3">
      <c r="F17" s="12" t="s">
        <v>17</v>
      </c>
      <c r="G17" s="15">
        <f>$C$11-(G13^2)/(2*$C$8)</f>
        <v>287.28386418311703</v>
      </c>
      <c r="H17" s="15">
        <f t="shared" ref="H17:Q17" si="8">$C$11-(H13^2)/(2*$C$8)</f>
        <v>287.08025823469609</v>
      </c>
      <c r="I17" s="15">
        <f t="shared" si="8"/>
        <v>286.81398409833878</v>
      </c>
      <c r="J17" s="15">
        <f t="shared" si="8"/>
        <v>286.45744550129484</v>
      </c>
      <c r="K17" s="15">
        <f t="shared" si="8"/>
        <v>285.96998016950045</v>
      </c>
      <c r="L17" s="15">
        <f t="shared" si="8"/>
        <v>285.28661219423424</v>
      </c>
      <c r="M17" s="15">
        <f t="shared" si="8"/>
        <v>284.29828231889178</v>
      </c>
      <c r="N17" s="15">
        <f t="shared" si="8"/>
        <v>282.80917493443854</v>
      </c>
      <c r="O17" s="15">
        <f t="shared" si="8"/>
        <v>280.43053817229719</v>
      </c>
      <c r="P17" s="15">
        <f t="shared" si="8"/>
        <v>276.24606463701116</v>
      </c>
      <c r="Q17" s="15">
        <f t="shared" si="8"/>
        <v>267.06215123177077</v>
      </c>
    </row>
    <row r="18" spans="6:27" x14ac:dyDescent="0.3">
      <c r="F18" s="12" t="s">
        <v>18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7" x14ac:dyDescent="0.3">
      <c r="F19" s="12" t="s">
        <v>19</v>
      </c>
      <c r="G19" s="14">
        <f>G13/G18</f>
        <v>0.12348513200811552</v>
      </c>
      <c r="H19" s="14">
        <f t="shared" ref="H19:Q19" si="10">H13/H18</f>
        <v>0.13713327754220828</v>
      </c>
      <c r="I19" s="14">
        <f t="shared" si="10"/>
        <v>0.15318262374832503</v>
      </c>
      <c r="J19" s="14">
        <f t="shared" si="10"/>
        <v>0.17238720316931128</v>
      </c>
      <c r="K19" s="14">
        <f t="shared" si="10"/>
        <v>0.19568087011513996</v>
      </c>
      <c r="L19" s="14">
        <f t="shared" si="10"/>
        <v>0.22440937493882568</v>
      </c>
      <c r="M19" s="14">
        <f t="shared" si="10"/>
        <v>0.260607981327386</v>
      </c>
      <c r="N19" s="14">
        <f t="shared" si="10"/>
        <v>0.3075729929968789</v>
      </c>
      <c r="O19" s="14">
        <f t="shared" si="10"/>
        <v>0.37123297473593864</v>
      </c>
      <c r="P19" s="14">
        <f t="shared" si="10"/>
        <v>0.46436998362498555</v>
      </c>
      <c r="Q19" s="14">
        <f t="shared" si="10"/>
        <v>0.62848871752448809</v>
      </c>
    </row>
    <row r="20" spans="6:27" x14ac:dyDescent="0.3">
      <c r="F20" s="12" t="s">
        <v>20</v>
      </c>
      <c r="G20" s="12">
        <f>1-((($C$6-1)/($C$6+1))*G21^2)</f>
        <v>0.99704053956027028</v>
      </c>
      <c r="H20" s="12">
        <f t="shared" ref="H20:Q20" si="11">1-((($C$6-1)/($C$6+1))*H21^2)</f>
        <v>0.99637522452798677</v>
      </c>
      <c r="I20" s="12">
        <f t="shared" si="11"/>
        <v>0.99551738512144528</v>
      </c>
      <c r="J20" s="12">
        <f t="shared" si="11"/>
        <v>0.99438996137486713</v>
      </c>
      <c r="K20" s="12">
        <f t="shared" si="11"/>
        <v>0.99288656085264948</v>
      </c>
      <c r="L20" s="12">
        <f t="shared" si="11"/>
        <v>0.99084969708373349</v>
      </c>
      <c r="M20" s="12">
        <f t="shared" si="11"/>
        <v>0.98804110858762784</v>
      </c>
      <c r="N20" s="12">
        <f t="shared" si="11"/>
        <v>0.98408998256156943</v>
      </c>
      <c r="O20" s="12">
        <f t="shared" si="11"/>
        <v>0.97839276991627533</v>
      </c>
      <c r="P20" s="12">
        <f t="shared" si="11"/>
        <v>0.96986758176308718</v>
      </c>
      <c r="Q20" s="12">
        <f t="shared" si="11"/>
        <v>0.95586604237998785</v>
      </c>
    </row>
    <row r="21" spans="6:27" x14ac:dyDescent="0.3">
      <c r="F21" s="12" t="s">
        <v>21</v>
      </c>
      <c r="G21" s="12">
        <f>SQRT(((($C$6+1)/2)*G19^2)/(1+2*G19^2))</f>
        <v>0.13325450325740634</v>
      </c>
      <c r="H21" s="12">
        <f>SQRT(((($C$6+1)/2)*H19^2)/(1+2*H19^2))</f>
        <v>0.14747424463979894</v>
      </c>
      <c r="I21" s="12">
        <f t="shared" ref="I21:Q21" si="12">SQRT(((($C$6+1)/2)*I19^2)/(1+2*I19^2))</f>
        <v>0.1639990526537525</v>
      </c>
      <c r="J21" s="12">
        <f t="shared" si="12"/>
        <v>0.18346724980442006</v>
      </c>
      <c r="K21" s="12">
        <f t="shared" si="12"/>
        <v>0.20659292070180635</v>
      </c>
      <c r="L21" s="12">
        <f t="shared" si="12"/>
        <v>0.23431136869046568</v>
      </c>
      <c r="M21" s="12">
        <f t="shared" si="12"/>
        <v>0.2678681550207731</v>
      </c>
      <c r="N21" s="12">
        <f t="shared" si="12"/>
        <v>0.30896618687258187</v>
      </c>
      <c r="O21" s="12">
        <f t="shared" si="12"/>
        <v>0.36006024565667927</v>
      </c>
      <c r="P21" s="12">
        <f t="shared" si="12"/>
        <v>0.42519937608312292</v>
      </c>
      <c r="Q21" s="12">
        <f t="shared" si="12"/>
        <v>0.51459085273649507</v>
      </c>
    </row>
    <row r="22" spans="6:27" x14ac:dyDescent="0.3">
      <c r="F22" s="12" t="s">
        <v>22</v>
      </c>
      <c r="G22" s="12">
        <f>(1-((($C$6-1)/($C$6+1))*G21^2))^($C$6/($C$6-1))</f>
        <v>0.98968014980824814</v>
      </c>
      <c r="H22" s="12">
        <f t="shared" ref="H22:Q22" si="13">(1-((($C$6-1)/($C$6+1))*H21^2))^($C$6/($C$6-1))</f>
        <v>0.98737066482633495</v>
      </c>
      <c r="I22" s="12">
        <f t="shared" si="13"/>
        <v>0.98439856153413363</v>
      </c>
      <c r="J22" s="12">
        <f t="shared" si="13"/>
        <v>0.98050217118689553</v>
      </c>
      <c r="K22" s="12">
        <f t="shared" si="13"/>
        <v>0.97532355574748653</v>
      </c>
      <c r="L22" s="12">
        <f t="shared" si="13"/>
        <v>0.96833857597726203</v>
      </c>
      <c r="M22" s="12">
        <f t="shared" si="13"/>
        <v>0.95876583536247673</v>
      </c>
      <c r="N22" s="12">
        <f t="shared" si="13"/>
        <v>0.94541358470102099</v>
      </c>
      <c r="O22" s="12">
        <f t="shared" si="13"/>
        <v>0.92639525404761391</v>
      </c>
      <c r="P22" s="12">
        <f t="shared" si="13"/>
        <v>0.89844925072464876</v>
      </c>
      <c r="Q22" s="12">
        <f t="shared" si="13"/>
        <v>0.85386579544090735</v>
      </c>
    </row>
    <row r="23" spans="6:27" x14ac:dyDescent="0.3">
      <c r="F23" s="12" t="s">
        <v>11</v>
      </c>
      <c r="G23" s="12">
        <f>G14/G22</f>
        <v>134967.06817947177</v>
      </c>
      <c r="H23" s="12">
        <f t="shared" ref="H23:Q23" si="14">H14/H22</f>
        <v>134930.39475596001</v>
      </c>
      <c r="I23" s="12">
        <f t="shared" si="14"/>
        <v>134875.42513705656</v>
      </c>
      <c r="J23" s="12">
        <f t="shared" si="14"/>
        <v>134789.77410571053</v>
      </c>
      <c r="K23" s="12">
        <f t="shared" si="14"/>
        <v>134651.5906626677</v>
      </c>
      <c r="L23" s="12">
        <f t="shared" si="14"/>
        <v>134419.48833962463</v>
      </c>
      <c r="M23" s="12">
        <f t="shared" si="14"/>
        <v>134010.67830357052</v>
      </c>
      <c r="N23" s="12">
        <f t="shared" si="14"/>
        <v>133247.85734938047</v>
      </c>
      <c r="O23" s="12">
        <f t="shared" si="14"/>
        <v>131714.4995917193</v>
      </c>
      <c r="P23" s="12">
        <f t="shared" si="14"/>
        <v>128277.7542906829</v>
      </c>
      <c r="Q23" s="19">
        <f t="shared" si="14"/>
        <v>118666.18916111893</v>
      </c>
      <c r="R23" s="8"/>
      <c r="S23" s="20"/>
      <c r="T23" s="8"/>
      <c r="U23" s="8"/>
      <c r="V23" s="8"/>
      <c r="W23" s="8"/>
      <c r="X23" s="8"/>
      <c r="Y23" s="8"/>
      <c r="Z23" s="8"/>
      <c r="AA23" s="8"/>
    </row>
    <row r="24" spans="6:27" x14ac:dyDescent="0.3"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6:27" x14ac:dyDescent="0.3"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6:27" x14ac:dyDescent="0.3">
      <c r="R26" s="8"/>
      <c r="S26" s="8"/>
      <c r="T26" s="20"/>
      <c r="U26" s="20"/>
      <c r="V26" s="20"/>
      <c r="W26" s="20"/>
      <c r="X26" s="20"/>
      <c r="Y26" s="20"/>
      <c r="Z26" s="8"/>
      <c r="AA26" s="8"/>
    </row>
    <row r="27" spans="6:27" x14ac:dyDescent="0.3">
      <c r="R27" s="8"/>
      <c r="S27" s="8"/>
      <c r="T27" s="20"/>
      <c r="U27" s="20"/>
      <c r="V27" s="20"/>
      <c r="W27" s="20"/>
      <c r="X27" s="20"/>
      <c r="Y27" s="20"/>
      <c r="Z27" s="8"/>
      <c r="AA27" s="8"/>
    </row>
    <row r="28" spans="6:27" x14ac:dyDescent="0.3">
      <c r="R28" s="8"/>
      <c r="S28" s="8"/>
      <c r="T28" s="20"/>
      <c r="U28" s="20"/>
      <c r="V28" s="20"/>
      <c r="W28" s="20"/>
      <c r="X28" s="20"/>
      <c r="Y28" s="20"/>
      <c r="Z28" s="8"/>
      <c r="AA28" s="8"/>
    </row>
    <row r="29" spans="6:27" x14ac:dyDescent="0.3">
      <c r="R29" s="8"/>
      <c r="S29" s="8"/>
      <c r="T29" s="20"/>
      <c r="U29" s="20"/>
      <c r="V29" s="20"/>
      <c r="W29" s="20"/>
      <c r="X29" s="20"/>
      <c r="Y29" s="20"/>
      <c r="Z29" s="8"/>
      <c r="AA29" s="8"/>
    </row>
    <row r="30" spans="6:27" x14ac:dyDescent="0.3">
      <c r="J30" s="1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6:27" x14ac:dyDescent="0.3">
      <c r="R31" s="8"/>
      <c r="S31" s="8"/>
      <c r="T31" s="8"/>
      <c r="U31" s="8"/>
      <c r="V31" s="8"/>
      <c r="W31" s="8"/>
      <c r="X31" s="8"/>
      <c r="Y31" s="8"/>
      <c r="Z31" s="8"/>
      <c r="AA31" s="8"/>
    </row>
    <row r="42" spans="10:10" ht="18" x14ac:dyDescent="0.35">
      <c r="J42" s="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56"/>
  <sheetViews>
    <sheetView zoomScale="85" zoomScaleNormal="85" workbookViewId="0">
      <selection activeCell="W15" sqref="W15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6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6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106.77346521740971</v>
      </c>
      <c r="H5" s="2">
        <v>118.30880602632858</v>
      </c>
      <c r="I5" s="2">
        <v>131.83543684838898</v>
      </c>
      <c r="J5" s="2">
        <v>147.82577804181702</v>
      </c>
      <c r="K5" s="2">
        <v>166.91248036802023</v>
      </c>
      <c r="L5" s="2">
        <v>189.94514290211384</v>
      </c>
      <c r="M5" s="2">
        <v>218.08663139815965</v>
      </c>
      <c r="N5" s="2">
        <v>252.96346633415229</v>
      </c>
      <c r="O5" s="2">
        <v>296.90787671612031</v>
      </c>
      <c r="P5" s="2">
        <v>353.36103997023986</v>
      </c>
      <c r="Q5" s="2">
        <v>427.57197830846815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6" t="s">
        <v>7</v>
      </c>
      <c r="C6" s="26">
        <v>1.4</v>
      </c>
      <c r="D6" s="1"/>
      <c r="E6" s="1"/>
      <c r="F6" s="2" t="s">
        <v>8</v>
      </c>
      <c r="G6" s="2">
        <v>211245.16057183896</v>
      </c>
      <c r="H6" s="2">
        <v>209627.88029721737</v>
      </c>
      <c r="I6" s="2">
        <v>207514.57687025546</v>
      </c>
      <c r="J6" s="2">
        <v>204713.35765700546</v>
      </c>
      <c r="K6" s="2">
        <v>200938.0193143356</v>
      </c>
      <c r="L6" s="2">
        <v>195753.54995743209</v>
      </c>
      <c r="M6" s="2">
        <v>188480.7162976643</v>
      </c>
      <c r="N6" s="2">
        <v>178025.8488447472</v>
      </c>
      <c r="O6" s="2">
        <v>162564.54158267644</v>
      </c>
      <c r="P6" s="2">
        <v>138925.69777259091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6" t="s">
        <v>3</v>
      </c>
      <c r="C7" s="26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6" t="s">
        <v>10</v>
      </c>
      <c r="C8" s="26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5" t="s">
        <v>11</v>
      </c>
      <c r="C10" s="25">
        <v>218000</v>
      </c>
      <c r="D10" s="1"/>
      <c r="E10" s="1"/>
      <c r="F10" s="2" t="s">
        <v>12</v>
      </c>
      <c r="G10" s="4">
        <f>G4*G7*G13</f>
        <v>2.5439728909582437</v>
      </c>
      <c r="H10" s="4">
        <f t="shared" ref="H10:Q10" si="3">H4*H7*H13</f>
        <v>2.5439784418729214</v>
      </c>
      <c r="I10" s="4">
        <f t="shared" si="3"/>
        <v>2.544289303683049</v>
      </c>
      <c r="J10" s="4">
        <f t="shared" si="3"/>
        <v>2.5447044495398883</v>
      </c>
      <c r="K10" s="4">
        <f t="shared" si="3"/>
        <v>2.5451770625558776</v>
      </c>
      <c r="L10" s="4">
        <f t="shared" si="3"/>
        <v>2.5456561547186798</v>
      </c>
      <c r="M10" s="4">
        <f t="shared" si="3"/>
        <v>2.5460909585667735</v>
      </c>
      <c r="N10" s="5">
        <f t="shared" si="3"/>
        <v>2.5464378453092893</v>
      </c>
      <c r="O10" s="4">
        <f t="shared" si="3"/>
        <v>2.5466695876878793</v>
      </c>
      <c r="P10" s="4">
        <f t="shared" si="3"/>
        <v>2.5467851863366322</v>
      </c>
      <c r="Q10" s="4">
        <f t="shared" si="3"/>
        <v>2.5468154468156907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5" t="s">
        <v>13</v>
      </c>
      <c r="C11" s="25">
        <v>288.16000000000003</v>
      </c>
      <c r="D11" s="1"/>
      <c r="E11" s="1"/>
      <c r="F11" s="2" t="s">
        <v>14</v>
      </c>
      <c r="G11" s="2">
        <v>0</v>
      </c>
      <c r="H11" s="2">
        <f>H13*(H10-I10)</f>
        <v>-3.6777769843794411E-2</v>
      </c>
      <c r="I11" s="2">
        <f t="shared" ref="I11:P11" si="4">I13*(I10-J10)</f>
        <v>-5.4731075735119435E-2</v>
      </c>
      <c r="J11" s="2">
        <f t="shared" si="4"/>
        <v>-6.9864568143776118E-2</v>
      </c>
      <c r="K11" s="2">
        <f t="shared" si="4"/>
        <v>-7.9966648796752193E-2</v>
      </c>
      <c r="L11" s="2">
        <f t="shared" si="4"/>
        <v>-8.258903614960536E-2</v>
      </c>
      <c r="M11" s="2">
        <f t="shared" si="4"/>
        <v>-7.5651464494586471E-2</v>
      </c>
      <c r="N11" s="2">
        <f t="shared" si="4"/>
        <v>-5.8622404806882883E-2</v>
      </c>
      <c r="O11" s="2">
        <f t="shared" si="4"/>
        <v>-3.4322163971628912E-2</v>
      </c>
      <c r="P11" s="2">
        <f t="shared" si="4"/>
        <v>-1.0692876188031671E-2</v>
      </c>
      <c r="Q11" s="25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5" t="s">
        <v>8</v>
      </c>
      <c r="C12" s="25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5">
        <f>(H4*H5*H7)/(G4*G7)</f>
        <v>106.77369743876154</v>
      </c>
      <c r="H13" s="2">
        <f>((G6-H6)/H7+G5*H5)^0.5</f>
        <v>118.30906417455424</v>
      </c>
      <c r="I13" s="2">
        <f t="shared" ref="I13:Q13" si="5">((H6-I6)/I7+H5*I5)^0.5</f>
        <v>131.83577490525659</v>
      </c>
      <c r="J13" s="2">
        <f t="shared" si="5"/>
        <v>147.82616174361391</v>
      </c>
      <c r="K13" s="2">
        <f t="shared" si="5"/>
        <v>166.9128718972006</v>
      </c>
      <c r="L13" s="2">
        <f t="shared" si="5"/>
        <v>189.9455041893037</v>
      </c>
      <c r="M13" s="2">
        <f t="shared" si="5"/>
        <v>218.08692931277685</v>
      </c>
      <c r="N13" s="2">
        <f t="shared" si="5"/>
        <v>252.96367959781344</v>
      </c>
      <c r="O13" s="2">
        <f t="shared" si="5"/>
        <v>296.90800318091112</v>
      </c>
      <c r="P13" s="2">
        <f t="shared" si="5"/>
        <v>353.36110070674175</v>
      </c>
      <c r="Q13" s="2">
        <f t="shared" si="5"/>
        <v>427.57201213450554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5">
        <f>C10-(G7*G13^2)/2</f>
        <v>211245.13118963907</v>
      </c>
      <c r="H14" s="2">
        <f>H6+H11</f>
        <v>209627.84351944752</v>
      </c>
      <c r="I14" s="2">
        <f t="shared" ref="I14:Q14" si="6">I6+I11</f>
        <v>207514.52213917972</v>
      </c>
      <c r="J14" s="2">
        <f t="shared" si="6"/>
        <v>204713.2877924373</v>
      </c>
      <c r="K14" s="2">
        <f t="shared" si="6"/>
        <v>200937.9393476868</v>
      </c>
      <c r="L14" s="2">
        <f t="shared" si="6"/>
        <v>195753.46736839594</v>
      </c>
      <c r="M14" s="2">
        <f t="shared" si="6"/>
        <v>188480.64064619981</v>
      </c>
      <c r="N14" s="2">
        <f t="shared" si="6"/>
        <v>178025.79022234239</v>
      </c>
      <c r="O14" s="2">
        <f t="shared" si="6"/>
        <v>162564.50726051247</v>
      </c>
      <c r="P14" s="2">
        <f t="shared" si="6"/>
        <v>138925.68707971473</v>
      </c>
      <c r="Q14" s="25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4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282.48466026247303</v>
      </c>
      <c r="H17" s="2">
        <f t="shared" ref="H17:Q17" si="8">$C$11-(H13^2)/(2*$C$8)</f>
        <v>281.19214124559005</v>
      </c>
      <c r="I17" s="2">
        <f t="shared" si="8"/>
        <v>279.50773419709805</v>
      </c>
      <c r="J17" s="2">
        <f t="shared" si="8"/>
        <v>277.28157800883662</v>
      </c>
      <c r="K17" s="2">
        <f t="shared" si="8"/>
        <v>274.29106988999837</v>
      </c>
      <c r="L17" s="2">
        <f t="shared" si="8"/>
        <v>270.19937944955757</v>
      </c>
      <c r="M17" s="2">
        <f t="shared" si="8"/>
        <v>264.48322344828949</v>
      </c>
      <c r="N17" s="2">
        <f t="shared" si="8"/>
        <v>256.30485105751438</v>
      </c>
      <c r="O17" s="2">
        <f t="shared" si="8"/>
        <v>244.27590882473322</v>
      </c>
      <c r="P17" s="2">
        <f t="shared" si="8"/>
        <v>226.00146381288329</v>
      </c>
      <c r="Q17" s="2">
        <f t="shared" si="8"/>
        <v>197.15152451177335</v>
      </c>
      <c r="R17" s="1"/>
      <c r="S17" s="1"/>
      <c r="T17" s="3"/>
      <c r="U17" s="3"/>
      <c r="V17" s="3"/>
      <c r="W17" s="3"/>
      <c r="X17" s="3"/>
    </row>
    <row r="18" spans="1:24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336.88464360190028</v>
      </c>
      <c r="H18" s="2">
        <f t="shared" ref="H18:Q18" si="9">SQRT($C$7*$C$6*H17)</f>
        <v>336.11304589459371</v>
      </c>
      <c r="I18" s="2">
        <f t="shared" si="9"/>
        <v>335.10483568163181</v>
      </c>
      <c r="J18" s="2">
        <f t="shared" si="9"/>
        <v>333.76768658168902</v>
      </c>
      <c r="K18" s="2">
        <f t="shared" si="9"/>
        <v>331.96294924563739</v>
      </c>
      <c r="L18" s="2">
        <f t="shared" si="9"/>
        <v>329.47764544375053</v>
      </c>
      <c r="M18" s="2">
        <f t="shared" si="9"/>
        <v>325.97391220642726</v>
      </c>
      <c r="N18" s="2">
        <f t="shared" si="9"/>
        <v>320.89444059495298</v>
      </c>
      <c r="O18" s="2">
        <f t="shared" si="9"/>
        <v>313.27381721132053</v>
      </c>
      <c r="P18" s="2">
        <f t="shared" si="9"/>
        <v>301.32794245246328</v>
      </c>
      <c r="Q18" s="2">
        <f t="shared" si="9"/>
        <v>281.43872194328497</v>
      </c>
      <c r="R18" s="1"/>
      <c r="S18" s="1"/>
      <c r="T18" s="3"/>
      <c r="U18" s="3"/>
      <c r="V18" s="3"/>
      <c r="W18" s="3"/>
      <c r="X18" s="3"/>
    </row>
    <row r="19" spans="1:24" x14ac:dyDescent="0.3">
      <c r="A19" s="1"/>
      <c r="B19" s="1"/>
      <c r="C19" s="1"/>
      <c r="D19" s="1"/>
      <c r="E19" s="1"/>
      <c r="F19" s="2" t="s">
        <v>19</v>
      </c>
      <c r="G19" s="2">
        <f>G13/G18</f>
        <v>0.31694438872950531</v>
      </c>
      <c r="H19" s="2">
        <f t="shared" ref="H19:Q19" si="10">H13/H18</f>
        <v>0.35199188374156831</v>
      </c>
      <c r="I19" s="2">
        <f t="shared" si="10"/>
        <v>0.39341650990231575</v>
      </c>
      <c r="J19" s="2">
        <f t="shared" si="10"/>
        <v>0.4429013582998057</v>
      </c>
      <c r="K19" s="2">
        <f t="shared" si="10"/>
        <v>0.50280572659237555</v>
      </c>
      <c r="L19" s="2">
        <f t="shared" si="10"/>
        <v>0.57650498240473735</v>
      </c>
      <c r="M19" s="2">
        <f t="shared" si="10"/>
        <v>0.66903184931765469</v>
      </c>
      <c r="N19" s="2">
        <f t="shared" si="10"/>
        <v>0.78830807766194766</v>
      </c>
      <c r="O19" s="2">
        <f t="shared" si="10"/>
        <v>0.94775875565952661</v>
      </c>
      <c r="P19" s="2">
        <f t="shared" si="10"/>
        <v>1.1726794993879039</v>
      </c>
      <c r="Q19" s="2">
        <f t="shared" si="10"/>
        <v>1.5192366181248829</v>
      </c>
      <c r="R19" s="1"/>
      <c r="S19" s="1"/>
      <c r="T19" s="3"/>
      <c r="U19" s="3"/>
      <c r="V19" s="3"/>
      <c r="W19" s="3"/>
      <c r="X19" s="3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7"/>
      <c r="R22" s="7"/>
      <c r="S22" s="7"/>
      <c r="T22" s="7"/>
      <c r="U22" s="7"/>
      <c r="V22" s="7"/>
      <c r="W22" s="7"/>
      <c r="X22" s="3"/>
    </row>
    <row r="23" spans="1:2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7"/>
      <c r="R23" s="7"/>
      <c r="S23" s="7"/>
      <c r="T23" s="9"/>
      <c r="U23" s="7"/>
      <c r="V23" s="9"/>
      <c r="W23" s="7"/>
      <c r="X23" s="3"/>
    </row>
    <row r="24" spans="1:2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7"/>
      <c r="R24" s="7"/>
      <c r="S24" s="10"/>
      <c r="T24" s="7"/>
      <c r="U24" s="7"/>
      <c r="V24" s="7"/>
      <c r="W24" s="7"/>
      <c r="X24" s="3"/>
    </row>
    <row r="25" spans="1:24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7"/>
      <c r="R25" s="7"/>
      <c r="S25" s="11"/>
      <c r="T25" s="11"/>
      <c r="U25" s="11"/>
      <c r="V25" s="11"/>
      <c r="W25" s="11"/>
      <c r="X25" s="3"/>
    </row>
    <row r="26" spans="1:24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7"/>
      <c r="R26" s="7"/>
      <c r="S26" s="9"/>
      <c r="T26" s="7"/>
      <c r="U26" s="7"/>
      <c r="V26" s="7"/>
      <c r="W26" s="7"/>
    </row>
    <row r="27" spans="1:24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7"/>
      <c r="R27" s="7"/>
      <c r="S27" s="8"/>
      <c r="T27" s="8"/>
      <c r="U27" s="8"/>
      <c r="V27" s="8"/>
      <c r="W27" s="8"/>
    </row>
    <row r="28" spans="1:24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7"/>
      <c r="R28" s="7"/>
      <c r="S28" s="8"/>
      <c r="T28" s="8"/>
      <c r="U28" s="8"/>
      <c r="V28" s="8"/>
      <c r="W28" s="8"/>
    </row>
    <row r="29" spans="1:24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4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S30"/>
  <sheetViews>
    <sheetView zoomScale="85" zoomScaleNormal="85" workbookViewId="0">
      <selection activeCell="Q3" activeCellId="1" sqref="G3 Q3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4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4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44.280058829103695</v>
      </c>
      <c r="H5" s="12">
        <v>49.167521397240662</v>
      </c>
      <c r="I5" s="12">
        <v>54.90800996055215</v>
      </c>
      <c r="J5" s="12">
        <v>61.776175505769835</v>
      </c>
      <c r="K5" s="12">
        <v>70.105343915275839</v>
      </c>
      <c r="L5" s="12">
        <v>80.375272411770609</v>
      </c>
      <c r="M5" s="12">
        <v>93.311035504256878</v>
      </c>
      <c r="N5" s="12">
        <v>110.08900148034917</v>
      </c>
      <c r="O5" s="12">
        <v>132.84483372608193</v>
      </c>
      <c r="P5" s="12">
        <v>166.34447275673128</v>
      </c>
      <c r="Q5" s="12">
        <v>421.41061851010818</v>
      </c>
    </row>
    <row r="6" spans="2:17" x14ac:dyDescent="0.3">
      <c r="B6" s="24" t="s">
        <v>7</v>
      </c>
      <c r="C6" s="24">
        <v>1.4</v>
      </c>
      <c r="F6" s="12" t="s">
        <v>8</v>
      </c>
      <c r="G6" s="12">
        <v>345885.48181827401</v>
      </c>
      <c r="H6" s="12">
        <v>344879.25937080476</v>
      </c>
      <c r="I6" s="12">
        <v>343562.97041012999</v>
      </c>
      <c r="J6" s="12">
        <v>341797.63022535248</v>
      </c>
      <c r="K6" s="12">
        <v>339380.5659845976</v>
      </c>
      <c r="L6" s="12">
        <v>335988.65948717593</v>
      </c>
      <c r="M6" s="12">
        <v>331081.85058878252</v>
      </c>
      <c r="N6" s="12">
        <v>323696.64769306255</v>
      </c>
      <c r="O6" s="12">
        <v>311934.4041231263</v>
      </c>
      <c r="P6" s="12">
        <v>291317.57904759562</v>
      </c>
      <c r="Q6" s="12">
        <v>101325</v>
      </c>
    </row>
    <row r="7" spans="2:17" x14ac:dyDescent="0.3">
      <c r="B7" s="24" t="s">
        <v>3</v>
      </c>
      <c r="C7" s="24">
        <v>286.97199999999998</v>
      </c>
      <c r="F7" s="12" t="s">
        <v>9</v>
      </c>
      <c r="G7" s="12">
        <v>4.1969391264855913</v>
      </c>
      <c r="H7" s="12">
        <v>4.1880453558893604</v>
      </c>
      <c r="I7" s="12">
        <v>4.176389567062591</v>
      </c>
      <c r="J7" s="12">
        <v>4.1607204320259426</v>
      </c>
      <c r="K7" s="12">
        <v>4.139204255460089</v>
      </c>
      <c r="L7" s="12">
        <v>4.1088992233295718</v>
      </c>
      <c r="M7" s="12">
        <v>4.0648478096841334</v>
      </c>
      <c r="N7" s="12">
        <v>3.9981069552022133</v>
      </c>
      <c r="O7" s="12">
        <v>3.890778917374957</v>
      </c>
      <c r="P7" s="12">
        <v>3.6996975473600591</v>
      </c>
      <c r="Q7" s="12">
        <v>1.7675767798836417</v>
      </c>
    </row>
    <row r="8" spans="2:17" x14ac:dyDescent="0.3">
      <c r="B8" s="24" t="s">
        <v>10</v>
      </c>
      <c r="C8" s="24">
        <v>1004.4</v>
      </c>
    </row>
    <row r="10" spans="2:17" x14ac:dyDescent="0.3">
      <c r="B10" s="22" t="s">
        <v>11</v>
      </c>
      <c r="C10" s="22">
        <v>350000</v>
      </c>
      <c r="F10" s="12" t="s">
        <v>12</v>
      </c>
      <c r="G10" s="13">
        <f t="shared" ref="G10:Q10" si="3">G4*G7*G13</f>
        <v>3.7365151638484457</v>
      </c>
      <c r="H10" s="13">
        <f t="shared" si="3"/>
        <v>3.7364813273297557</v>
      </c>
      <c r="I10" s="13">
        <f t="shared" si="3"/>
        <v>3.7346488830186</v>
      </c>
      <c r="J10" s="13">
        <f t="shared" si="3"/>
        <v>3.7338523992900572</v>
      </c>
      <c r="K10" s="13">
        <f t="shared" si="3"/>
        <v>3.7340394825870904</v>
      </c>
      <c r="L10" s="13">
        <f t="shared" si="3"/>
        <v>3.7350992126599238</v>
      </c>
      <c r="M10" s="13">
        <f t="shared" si="3"/>
        <v>3.736846777463863</v>
      </c>
      <c r="N10" s="13">
        <f t="shared" si="3"/>
        <v>3.7390113973563137</v>
      </c>
      <c r="O10" s="13">
        <f t="shared" si="3"/>
        <v>3.7412347561835015</v>
      </c>
      <c r="P10" s="13">
        <f t="shared" si="3"/>
        <v>3.7430922732157503</v>
      </c>
      <c r="Q10" s="13">
        <f t="shared" si="3"/>
        <v>3.7441534079009555</v>
      </c>
    </row>
    <row r="11" spans="2:17" x14ac:dyDescent="0.3">
      <c r="B11" s="22" t="s">
        <v>13</v>
      </c>
      <c r="C11" s="22">
        <v>288.16000000000003</v>
      </c>
      <c r="F11" s="12" t="s">
        <v>14</v>
      </c>
      <c r="G11" s="14">
        <v>0</v>
      </c>
      <c r="H11" s="14">
        <f>(H13)*(H10-I10)</f>
        <v>9.0095928994734759E-2</v>
      </c>
      <c r="I11" s="14">
        <f t="shared" ref="I11:P11" si="4">(I13)*(I10-J10)</f>
        <v>4.3733155832505331E-2</v>
      </c>
      <c r="J11" s="14">
        <f t="shared" si="4"/>
        <v>-1.1557287779604996E-2</v>
      </c>
      <c r="K11" s="14">
        <f t="shared" si="4"/>
        <v>-7.4292929905964158E-2</v>
      </c>
      <c r="L11" s="14">
        <f t="shared" si="4"/>
        <v>-0.14046158616873125</v>
      </c>
      <c r="M11" s="14">
        <f t="shared" si="4"/>
        <v>-0.20198388408330123</v>
      </c>
      <c r="N11" s="14">
        <f t="shared" si="4"/>
        <v>-0.24476841753475101</v>
      </c>
      <c r="O11" s="14">
        <f t="shared" si="4"/>
        <v>-0.2467623307109188</v>
      </c>
      <c r="P11" s="14">
        <f t="shared" si="4"/>
        <v>-0.17651417876380965</v>
      </c>
      <c r="Q11" s="22">
        <v>0</v>
      </c>
    </row>
    <row r="12" spans="2:17" x14ac:dyDescent="0.3">
      <c r="B12" s="22" t="s">
        <v>8</v>
      </c>
      <c r="C12" s="22">
        <v>101325</v>
      </c>
    </row>
    <row r="13" spans="2:17" x14ac:dyDescent="0.3">
      <c r="F13" s="12" t="s">
        <v>6</v>
      </c>
      <c r="G13" s="22">
        <f>(H4*H5*H7)/(G4*G7)</f>
        <v>44.279655388571626</v>
      </c>
      <c r="H13" s="15">
        <f t="shared" ref="H13:Q13" si="5">((G6-H6)/H7+G5*H5)^0.5</f>
        <v>49.167076154097323</v>
      </c>
      <c r="I13" s="15">
        <f t="shared" si="5"/>
        <v>54.907783128874669</v>
      </c>
      <c r="J13" s="15">
        <f t="shared" si="5"/>
        <v>61.776160474409025</v>
      </c>
      <c r="K13" s="15">
        <f t="shared" si="5"/>
        <v>70.105521972519099</v>
      </c>
      <c r="L13" s="15">
        <f t="shared" si="5"/>
        <v>80.375609449287566</v>
      </c>
      <c r="M13" s="15">
        <f t="shared" si="5"/>
        <v>93.311479205994601</v>
      </c>
      <c r="N13" s="15">
        <f t="shared" si="5"/>
        <v>110.08948017821383</v>
      </c>
      <c r="O13" s="15">
        <f t="shared" si="5"/>
        <v>132.8452587119364</v>
      </c>
      <c r="P13" s="15">
        <f t="shared" si="5"/>
        <v>166.34474513447597</v>
      </c>
      <c r="Q13" s="15">
        <f t="shared" si="5"/>
        <v>421.4106349888167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3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23">
        <f t="shared" si="6"/>
        <v>101325</v>
      </c>
    </row>
    <row r="15" spans="2:17" x14ac:dyDescent="0.3">
      <c r="F15" s="12" t="s">
        <v>9</v>
      </c>
      <c r="G15" s="13">
        <f>G14/($C$7*G17)</f>
        <v>4.1969397685891989</v>
      </c>
      <c r="H15" s="13">
        <f t="shared" ref="H15:Q15" si="7">H14/($C$7*H17)</f>
        <v>4.188046131871439</v>
      </c>
      <c r="I15" s="13">
        <f t="shared" si="7"/>
        <v>4.1763899180255963</v>
      </c>
      <c r="J15" s="13">
        <f t="shared" si="7"/>
        <v>4.160720277900924</v>
      </c>
      <c r="K15" s="13">
        <f t="shared" si="7"/>
        <v>4.1392035294065339</v>
      </c>
      <c r="L15" s="13">
        <f t="shared" si="7"/>
        <v>4.1088978945059154</v>
      </c>
      <c r="M15" s="13">
        <f t="shared" si="7"/>
        <v>4.0648459201848013</v>
      </c>
      <c r="N15" s="13">
        <f t="shared" si="7"/>
        <v>3.9981046755183747</v>
      </c>
      <c r="O15" s="13">
        <f t="shared" si="7"/>
        <v>3.8907766223122979</v>
      </c>
      <c r="P15" s="13">
        <f t="shared" si="7"/>
        <v>3.6996959138968788</v>
      </c>
      <c r="Q15" s="13">
        <f t="shared" si="7"/>
        <v>1.7675768410625121</v>
      </c>
    </row>
    <row r="17" spans="6:19" x14ac:dyDescent="0.3">
      <c r="F17" s="12" t="s">
        <v>17</v>
      </c>
      <c r="G17" s="15">
        <f>$C$11-(G13^2)/(2*$C$8)</f>
        <v>287.18395067635873</v>
      </c>
      <c r="H17" s="15">
        <f t="shared" ref="H17:Q17" si="8">$C$11-(H13^2)/(2*$C$8)</f>
        <v>286.95659429632479</v>
      </c>
      <c r="I17" s="15">
        <f t="shared" si="8"/>
        <v>286.65917132211894</v>
      </c>
      <c r="J17" s="15">
        <f t="shared" si="8"/>
        <v>286.26021206543214</v>
      </c>
      <c r="K17" s="15">
        <f t="shared" si="8"/>
        <v>285.71337305304695</v>
      </c>
      <c r="L17" s="15">
        <f t="shared" si="8"/>
        <v>284.94403096657487</v>
      </c>
      <c r="M17" s="15">
        <f t="shared" si="8"/>
        <v>283.8255554800823</v>
      </c>
      <c r="N17" s="15">
        <f t="shared" si="8"/>
        <v>282.12669969837253</v>
      </c>
      <c r="O17" s="15">
        <f t="shared" si="8"/>
        <v>279.37472383400973</v>
      </c>
      <c r="P17" s="15">
        <f t="shared" si="8"/>
        <v>274.38532146861127</v>
      </c>
      <c r="Q17" s="15">
        <f t="shared" si="8"/>
        <v>199.75551807961088</v>
      </c>
    </row>
    <row r="18" spans="6:19" x14ac:dyDescent="0.3">
      <c r="F18" s="12" t="s">
        <v>18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 x14ac:dyDescent="0.3">
      <c r="F19" s="12" t="s">
        <v>19</v>
      </c>
      <c r="G19" s="14">
        <f>G13/G18</f>
        <v>0.13035880462568208</v>
      </c>
      <c r="H19" s="14">
        <f t="shared" ref="H19:Q19" si="10">H13/H18</f>
        <v>0.14480464654358011</v>
      </c>
      <c r="I19" s="14">
        <f t="shared" si="10"/>
        <v>0.16179578708296033</v>
      </c>
      <c r="J19" s="14">
        <f t="shared" si="10"/>
        <v>0.18216151855027235</v>
      </c>
      <c r="K19" s="14">
        <f t="shared" si="10"/>
        <v>0.20692033027924522</v>
      </c>
      <c r="L19" s="14">
        <f t="shared" si="10"/>
        <v>0.23755310810630886</v>
      </c>
      <c r="M19" s="14">
        <f t="shared" si="10"/>
        <v>0.27632841487199533</v>
      </c>
      <c r="N19" s="14">
        <f t="shared" si="10"/>
        <v>0.32699412261030519</v>
      </c>
      <c r="O19" s="14">
        <f t="shared" si="10"/>
        <v>0.39652331040203237</v>
      </c>
      <c r="P19" s="14">
        <f t="shared" si="10"/>
        <v>0.50100823987040888</v>
      </c>
      <c r="Q19" s="14">
        <f t="shared" si="10"/>
        <v>1.4875525572364199</v>
      </c>
    </row>
    <row r="20" spans="6:19" x14ac:dyDescent="0.3">
      <c r="F20" s="12" t="s">
        <v>20</v>
      </c>
      <c r="G20" s="12">
        <f>1-((($C$6-1)/($C$6+1))*G21^2)</f>
        <v>0.99671303011728174</v>
      </c>
      <c r="H20" s="12">
        <f t="shared" ref="H20:Q20" si="11">1-((($C$6-1)/($C$6+1))*H21^2)</f>
        <v>0.99597511360808921</v>
      </c>
      <c r="I20" s="12">
        <f t="shared" si="11"/>
        <v>0.99502489977703212</v>
      </c>
      <c r="J20" s="12">
        <f t="shared" si="11"/>
        <v>0.99377646509452411</v>
      </c>
      <c r="K20" s="12">
        <f t="shared" si="11"/>
        <v>0.99211224037940104</v>
      </c>
      <c r="L20" s="12">
        <f t="shared" si="11"/>
        <v>0.98985832374993499</v>
      </c>
      <c r="M20" s="12">
        <f t="shared" si="11"/>
        <v>0.98675172838748226</v>
      </c>
      <c r="N20" s="12">
        <f t="shared" si="11"/>
        <v>0.98238248075144408</v>
      </c>
      <c r="O20" s="12">
        <f t="shared" si="11"/>
        <v>0.9760767829084267</v>
      </c>
      <c r="P20" s="12">
        <f t="shared" si="11"/>
        <v>0.96657707554561456</v>
      </c>
      <c r="Q20" s="12">
        <f t="shared" si="11"/>
        <v>0.9184310555788946</v>
      </c>
    </row>
    <row r="21" spans="6:19" x14ac:dyDescent="0.3">
      <c r="F21" s="12" t="s">
        <v>21</v>
      </c>
      <c r="G21" s="12">
        <f>SQRT(((($C$6+1)/2)*G19^2)/(1+2*G19^2))</f>
        <v>0.14043439499036495</v>
      </c>
      <c r="H21" s="12">
        <f>SQRT(((($C$6+1)/2)*H19^2)/(1+2*H19^2))</f>
        <v>0.15540050949551171</v>
      </c>
      <c r="I21" s="12">
        <f t="shared" ref="I21:Q21" si="12">SQRT(((($C$6+1)/2)*I19^2)/(1+2*I19^2))</f>
        <v>0.17277326569179402</v>
      </c>
      <c r="J21" s="12">
        <f t="shared" si="12"/>
        <v>0.19323873688485746</v>
      </c>
      <c r="K21" s="12">
        <f t="shared" si="12"/>
        <v>0.21754667941293379</v>
      </c>
      <c r="L21" s="12">
        <f t="shared" si="12"/>
        <v>0.24667804422037701</v>
      </c>
      <c r="M21" s="12">
        <f t="shared" si="12"/>
        <v>0.28193905312160311</v>
      </c>
      <c r="N21" s="12">
        <f t="shared" si="12"/>
        <v>0.32512323123907294</v>
      </c>
      <c r="O21" s="12">
        <f t="shared" si="12"/>
        <v>0.37886581074232623</v>
      </c>
      <c r="P21" s="12">
        <f t="shared" si="12"/>
        <v>0.4478141877233377</v>
      </c>
      <c r="Q21" s="12">
        <f t="shared" si="12"/>
        <v>0.69958106501436468</v>
      </c>
    </row>
    <row r="22" spans="6:19" x14ac:dyDescent="0.3">
      <c r="F22" s="12" t="s">
        <v>22</v>
      </c>
      <c r="G22" s="12">
        <f>(1-((($C$6-1)/($C$6+1))*G21^2))^($C$6/($C$6-1))</f>
        <v>0.9885427960059292</v>
      </c>
      <c r="H22" s="12">
        <f t="shared" ref="H22:Q22" si="13">(1-((($C$6-1)/($C$6+1))*H21^2))^($C$6/($C$6-1))</f>
        <v>0.98598362880403378</v>
      </c>
      <c r="I22" s="12">
        <f t="shared" si="13"/>
        <v>0.98269516836177517</v>
      </c>
      <c r="J22" s="12">
        <f t="shared" si="13"/>
        <v>0.97838655513115991</v>
      </c>
      <c r="K22" s="12">
        <f t="shared" si="13"/>
        <v>0.97266396715912518</v>
      </c>
      <c r="L22" s="12">
        <f t="shared" si="13"/>
        <v>0.96495183870945589</v>
      </c>
      <c r="M22" s="12">
        <f t="shared" si="13"/>
        <v>0.95439385677830646</v>
      </c>
      <c r="N22" s="12">
        <f t="shared" si="13"/>
        <v>0.93968464691644049</v>
      </c>
      <c r="O22" s="12">
        <f t="shared" si="13"/>
        <v>0.91874278065402615</v>
      </c>
      <c r="P22" s="12">
        <f t="shared" si="13"/>
        <v>0.88782571020734091</v>
      </c>
      <c r="Q22" s="12">
        <f t="shared" si="13"/>
        <v>0.74244273422226659</v>
      </c>
    </row>
    <row r="23" spans="6:19" x14ac:dyDescent="0.3">
      <c r="F23" s="12" t="s">
        <v>11</v>
      </c>
      <c r="G23" s="12">
        <f>G14/G22</f>
        <v>349894.36730054737</v>
      </c>
      <c r="H23" s="12">
        <f t="shared" ref="H23:Q23" si="14">H14/H22</f>
        <v>349782.02415496617</v>
      </c>
      <c r="I23" s="12">
        <f t="shared" si="14"/>
        <v>349613.00839204341</v>
      </c>
      <c r="J23" s="12">
        <f t="shared" si="14"/>
        <v>349348.23754016554</v>
      </c>
      <c r="K23" s="12">
        <f t="shared" si="14"/>
        <v>348918.54037001246</v>
      </c>
      <c r="L23" s="12">
        <f t="shared" si="14"/>
        <v>348192.00870682509</v>
      </c>
      <c r="M23" s="12">
        <f t="shared" si="14"/>
        <v>346902.53531441628</v>
      </c>
      <c r="N23" s="12">
        <f t="shared" si="14"/>
        <v>344473.44009168324</v>
      </c>
      <c r="O23" s="12">
        <f t="shared" si="14"/>
        <v>339522.83917674847</v>
      </c>
      <c r="P23" s="12">
        <f t="shared" si="14"/>
        <v>328124.5397425844</v>
      </c>
      <c r="Q23" s="12">
        <f t="shared" si="14"/>
        <v>136475.17219781442</v>
      </c>
      <c r="S23" s="20"/>
    </row>
    <row r="30" spans="6:19" x14ac:dyDescent="0.3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ro=const</vt:lpstr>
      <vt:lpstr>ro=var</vt:lpstr>
      <vt:lpstr>M=1.5 (const)</vt:lpstr>
      <vt:lpstr>M=1.5 (var)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Polina Zhdanova</cp:lastModifiedBy>
  <dcterms:created xsi:type="dcterms:W3CDTF">2021-05-23T12:13:15Z</dcterms:created>
  <dcterms:modified xsi:type="dcterms:W3CDTF">2021-05-23T12:12:00Z</dcterms:modified>
</cp:coreProperties>
</file>