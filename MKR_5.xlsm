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ykhz0\Desktop\"/>
    </mc:Choice>
  </mc:AlternateContent>
  <xr:revisionPtr revIDLastSave="0" documentId="13_ncr:1_{5D1FBED1-8CAD-42CD-B910-25513827E82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o_const_p_135" sheetId="1" r:id="rId1"/>
    <sheet name="ro_var_p_135" sheetId="2" r:id="rId2"/>
    <sheet name="ro_const_p_105" sheetId="3" r:id="rId3"/>
    <sheet name="ro_var_p_105" sheetId="4" r:id="rId4"/>
  </sheets>
  <calcPr calcId="181029"/>
</workbook>
</file>

<file path=xl/calcChain.xml><?xml version="1.0" encoding="utf-8"?>
<calcChain xmlns="http://schemas.openxmlformats.org/spreadsheetml/2006/main">
  <c r="P13" i="1" l="1"/>
  <c r="P17" i="1" s="1"/>
  <c r="P18" i="1" s="1"/>
  <c r="P19" i="1" s="1"/>
  <c r="N13" i="1"/>
  <c r="J13" i="1"/>
  <c r="Q13" i="1"/>
  <c r="Q17" i="1" s="1"/>
  <c r="Q18" i="1" s="1"/>
  <c r="Q19" i="1" s="1"/>
  <c r="M13" i="1"/>
  <c r="M17" i="1" s="1"/>
  <c r="M18" i="1" s="1"/>
  <c r="M19" i="1" s="1"/>
  <c r="I13" i="1"/>
  <c r="I17" i="1" s="1"/>
  <c r="I18" i="1" s="1"/>
  <c r="I19" i="1" s="1"/>
  <c r="H13" i="4"/>
  <c r="H17" i="4" s="1"/>
  <c r="H18" i="4" s="1"/>
  <c r="I13" i="4"/>
  <c r="J13" i="4"/>
  <c r="K13" i="4"/>
  <c r="L13" i="4"/>
  <c r="L17" i="4" s="1"/>
  <c r="L18" i="4" s="1"/>
  <c r="M13" i="4"/>
  <c r="N13" i="4"/>
  <c r="O13" i="4"/>
  <c r="P13" i="4"/>
  <c r="P17" i="4" s="1"/>
  <c r="P18" i="4" s="1"/>
  <c r="Q13" i="4"/>
  <c r="Q14" i="4"/>
  <c r="G15" i="4"/>
  <c r="G13" i="4"/>
  <c r="O17" i="4"/>
  <c r="O18" i="4" s="1"/>
  <c r="N17" i="4"/>
  <c r="N18" i="4" s="1"/>
  <c r="N19" i="4" s="1"/>
  <c r="N21" i="4" s="1"/>
  <c r="M17" i="4"/>
  <c r="M18" i="4" s="1"/>
  <c r="M19" i="4" s="1"/>
  <c r="M21" i="4" s="1"/>
  <c r="K17" i="4"/>
  <c r="K18" i="4" s="1"/>
  <c r="J17" i="4"/>
  <c r="J18" i="4" s="1"/>
  <c r="J19" i="4" s="1"/>
  <c r="J21" i="4" s="1"/>
  <c r="I17" i="4"/>
  <c r="I18" i="4" s="1"/>
  <c r="I19" i="4" s="1"/>
  <c r="I21" i="4" s="1"/>
  <c r="Q4" i="4"/>
  <c r="G4" i="4"/>
  <c r="C4" i="4"/>
  <c r="H3" i="4"/>
  <c r="I3" i="4" s="1"/>
  <c r="H2" i="4"/>
  <c r="I2" i="4" s="1"/>
  <c r="J2" i="4" s="1"/>
  <c r="K2" i="4" s="1"/>
  <c r="L2" i="4" s="1"/>
  <c r="M2" i="4" s="1"/>
  <c r="N2" i="4" s="1"/>
  <c r="O2" i="4" s="1"/>
  <c r="P2" i="4" s="1"/>
  <c r="Q2" i="4" s="1"/>
  <c r="Q14" i="3"/>
  <c r="Q13" i="3"/>
  <c r="Q17" i="3" s="1"/>
  <c r="Q18" i="3" s="1"/>
  <c r="P13" i="3"/>
  <c r="P17" i="3" s="1"/>
  <c r="P18" i="3" s="1"/>
  <c r="O13" i="3"/>
  <c r="N13" i="3"/>
  <c r="M13" i="3"/>
  <c r="M17" i="3" s="1"/>
  <c r="M18" i="3" s="1"/>
  <c r="L13" i="3"/>
  <c r="L17" i="3" s="1"/>
  <c r="L18" i="3" s="1"/>
  <c r="K13" i="3"/>
  <c r="J13" i="3"/>
  <c r="I13" i="3"/>
  <c r="I17" i="3" s="1"/>
  <c r="I18" i="3" s="1"/>
  <c r="H13" i="3"/>
  <c r="H17" i="3" s="1"/>
  <c r="H18" i="3" s="1"/>
  <c r="Q4" i="3"/>
  <c r="G4" i="3"/>
  <c r="C4" i="3"/>
  <c r="H2" i="3" s="1"/>
  <c r="I2" i="3" s="1"/>
  <c r="J2" i="3" s="1"/>
  <c r="K2" i="3" s="1"/>
  <c r="L2" i="3" s="1"/>
  <c r="M2" i="3" s="1"/>
  <c r="N2" i="3" s="1"/>
  <c r="O2" i="3" s="1"/>
  <c r="P2" i="3" s="1"/>
  <c r="Q2" i="3" s="1"/>
  <c r="H3" i="3"/>
  <c r="I3" i="3" s="1"/>
  <c r="I4" i="3" s="1"/>
  <c r="Q14" i="2"/>
  <c r="Q13" i="2"/>
  <c r="Q17" i="2" s="1"/>
  <c r="Q18" i="2" s="1"/>
  <c r="P13" i="2"/>
  <c r="O13" i="2"/>
  <c r="O17" i="2" s="1"/>
  <c r="O18" i="2" s="1"/>
  <c r="N13" i="2"/>
  <c r="M13" i="2"/>
  <c r="L13" i="2"/>
  <c r="L17" i="2" s="1"/>
  <c r="L18" i="2" s="1"/>
  <c r="K13" i="2"/>
  <c r="K17" i="2" s="1"/>
  <c r="K18" i="2" s="1"/>
  <c r="J13" i="2"/>
  <c r="J17" i="2" s="1"/>
  <c r="J18" i="2" s="1"/>
  <c r="I13" i="2"/>
  <c r="I17" i="2" s="1"/>
  <c r="I18" i="2" s="1"/>
  <c r="H13" i="2"/>
  <c r="H17" i="2" s="1"/>
  <c r="H18" i="2" s="1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H3" i="2"/>
  <c r="H4" i="2" s="1"/>
  <c r="Q14" i="1"/>
  <c r="L13" i="1"/>
  <c r="K13" i="1"/>
  <c r="O13" i="1"/>
  <c r="H13" i="1"/>
  <c r="Q4" i="1"/>
  <c r="G4" i="1"/>
  <c r="I3" i="1"/>
  <c r="I4" i="1" s="1"/>
  <c r="H3" i="1"/>
  <c r="H4" i="1" s="1"/>
  <c r="G13" i="1" s="1"/>
  <c r="G14" i="1" s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Q17" i="4" l="1"/>
  <c r="Q18" i="4" s="1"/>
  <c r="J3" i="1"/>
  <c r="I4" i="4"/>
  <c r="J3" i="4"/>
  <c r="K3" i="4" s="1"/>
  <c r="H4" i="3"/>
  <c r="G13" i="3" s="1"/>
  <c r="I3" i="2"/>
  <c r="H4" i="4"/>
  <c r="G14" i="4" s="1"/>
  <c r="H10" i="1"/>
  <c r="G10" i="1"/>
  <c r="I10" i="4"/>
  <c r="K19" i="4"/>
  <c r="K21" i="4" s="1"/>
  <c r="K20" i="4" s="1"/>
  <c r="Q10" i="4"/>
  <c r="O19" i="4"/>
  <c r="O21" i="4" s="1"/>
  <c r="O20" i="4" s="1"/>
  <c r="I22" i="4"/>
  <c r="I20" i="4"/>
  <c r="J22" i="4"/>
  <c r="J20" i="4"/>
  <c r="L3" i="4"/>
  <c r="K4" i="4"/>
  <c r="K10" i="4" s="1"/>
  <c r="N22" i="4"/>
  <c r="N20" i="4"/>
  <c r="M22" i="4"/>
  <c r="M20" i="4"/>
  <c r="H10" i="4"/>
  <c r="J4" i="4"/>
  <c r="J10" i="4" s="1"/>
  <c r="H19" i="4"/>
  <c r="H21" i="4" s="1"/>
  <c r="L19" i="4"/>
  <c r="L21" i="4" s="1"/>
  <c r="P19" i="4"/>
  <c r="P21" i="4" s="1"/>
  <c r="I10" i="3"/>
  <c r="Q10" i="3"/>
  <c r="O17" i="3"/>
  <c r="O18" i="3" s="1"/>
  <c r="O19" i="3" s="1"/>
  <c r="K17" i="3"/>
  <c r="K18" i="3" s="1"/>
  <c r="K19" i="3" s="1"/>
  <c r="G14" i="3"/>
  <c r="G10" i="3"/>
  <c r="G17" i="3"/>
  <c r="G18" i="3" s="1"/>
  <c r="G19" i="3" s="1"/>
  <c r="I19" i="3"/>
  <c r="M19" i="3"/>
  <c r="Q19" i="3"/>
  <c r="J3" i="3"/>
  <c r="H10" i="3"/>
  <c r="J17" i="3"/>
  <c r="J18" i="3" s="1"/>
  <c r="J19" i="3" s="1"/>
  <c r="N17" i="3"/>
  <c r="N18" i="3" s="1"/>
  <c r="N19" i="3" s="1"/>
  <c r="H19" i="3"/>
  <c r="L19" i="3"/>
  <c r="P19" i="3"/>
  <c r="Q15" i="2"/>
  <c r="Q10" i="2"/>
  <c r="J19" i="2"/>
  <c r="J21" i="2" s="1"/>
  <c r="N17" i="2"/>
  <c r="I19" i="2"/>
  <c r="I21" i="2" s="1"/>
  <c r="Q19" i="2"/>
  <c r="Q21" i="2" s="1"/>
  <c r="M17" i="2"/>
  <c r="G13" i="2"/>
  <c r="H10" i="2"/>
  <c r="H19" i="2"/>
  <c r="H21" i="2" s="1"/>
  <c r="L19" i="2"/>
  <c r="L21" i="2" s="1"/>
  <c r="K19" i="2"/>
  <c r="K21" i="2" s="1"/>
  <c r="O19" i="2"/>
  <c r="O21" i="2" s="1"/>
  <c r="P17" i="2"/>
  <c r="J17" i="1"/>
  <c r="J18" i="1" s="1"/>
  <c r="J19" i="1" s="1"/>
  <c r="Q10" i="1"/>
  <c r="G17" i="1"/>
  <c r="G18" i="1" s="1"/>
  <c r="G19" i="1" s="1"/>
  <c r="I10" i="1"/>
  <c r="N17" i="1"/>
  <c r="N18" i="1" s="1"/>
  <c r="N19" i="1" s="1"/>
  <c r="L17" i="1"/>
  <c r="L18" i="1" s="1"/>
  <c r="L19" i="1" s="1"/>
  <c r="O17" i="1"/>
  <c r="O18" i="1" s="1"/>
  <c r="O19" i="1" s="1"/>
  <c r="K17" i="1"/>
  <c r="K18" i="1" s="1"/>
  <c r="K19" i="1" s="1"/>
  <c r="H17" i="1"/>
  <c r="H18" i="1" s="1"/>
  <c r="H19" i="1" s="1"/>
  <c r="Q15" i="4" l="1"/>
  <c r="H11" i="4"/>
  <c r="H14" i="4" s="1"/>
  <c r="H15" i="4" s="1"/>
  <c r="G10" i="4"/>
  <c r="G17" i="4"/>
  <c r="G18" i="4" s="1"/>
  <c r="G19" i="4" s="1"/>
  <c r="G21" i="4" s="1"/>
  <c r="G20" i="4" s="1"/>
  <c r="K3" i="1"/>
  <c r="J4" i="1"/>
  <c r="J10" i="1" s="1"/>
  <c r="I11" i="1" s="1"/>
  <c r="I14" i="1" s="1"/>
  <c r="Q19" i="4"/>
  <c r="Q21" i="4" s="1"/>
  <c r="I4" i="2"/>
  <c r="I10" i="2" s="1"/>
  <c r="J3" i="2"/>
  <c r="H11" i="1"/>
  <c r="H14" i="1" s="1"/>
  <c r="K22" i="4"/>
  <c r="O22" i="4"/>
  <c r="J11" i="4"/>
  <c r="H20" i="4"/>
  <c r="H22" i="4"/>
  <c r="L4" i="4"/>
  <c r="L10" i="4" s="1"/>
  <c r="K11" i="4" s="1"/>
  <c r="K14" i="4" s="1"/>
  <c r="M3" i="4"/>
  <c r="L20" i="4"/>
  <c r="L22" i="4"/>
  <c r="P20" i="4"/>
  <c r="P22" i="4"/>
  <c r="I11" i="4"/>
  <c r="I14" i="4" s="1"/>
  <c r="H11" i="3"/>
  <c r="H14" i="3" s="1"/>
  <c r="K3" i="3"/>
  <c r="J4" i="3"/>
  <c r="J10" i="3" s="1"/>
  <c r="G10" i="2"/>
  <c r="G14" i="2"/>
  <c r="H11" i="2"/>
  <c r="H14" i="2" s="1"/>
  <c r="H15" i="2" s="1"/>
  <c r="N18" i="2"/>
  <c r="N19" i="2" s="1"/>
  <c r="N21" i="2" s="1"/>
  <c r="N22" i="2" s="1"/>
  <c r="M18" i="2"/>
  <c r="M19" i="2" s="1"/>
  <c r="M21" i="2" s="1"/>
  <c r="M20" i="2" s="1"/>
  <c r="P18" i="2"/>
  <c r="P19" i="2" s="1"/>
  <c r="P21" i="2" s="1"/>
  <c r="P22" i="2" s="1"/>
  <c r="L22" i="2"/>
  <c r="L20" i="2"/>
  <c r="J20" i="2"/>
  <c r="J22" i="2"/>
  <c r="K22" i="2"/>
  <c r="K20" i="2"/>
  <c r="O22" i="2"/>
  <c r="O20" i="2"/>
  <c r="I20" i="2"/>
  <c r="I22" i="2"/>
  <c r="Q20" i="2"/>
  <c r="Q22" i="2"/>
  <c r="Q23" i="2" s="1"/>
  <c r="H22" i="2"/>
  <c r="H20" i="2"/>
  <c r="G17" i="2"/>
  <c r="J14" i="4" l="1"/>
  <c r="J15" i="4" s="1"/>
  <c r="H23" i="4"/>
  <c r="G22" i="4"/>
  <c r="G23" i="4" s="1"/>
  <c r="Q22" i="4"/>
  <c r="Q23" i="4" s="1"/>
  <c r="Q20" i="4"/>
  <c r="L3" i="1"/>
  <c r="K4" i="1"/>
  <c r="K10" i="1" s="1"/>
  <c r="K3" i="2"/>
  <c r="J4" i="2"/>
  <c r="J10" i="2" s="1"/>
  <c r="J23" i="4"/>
  <c r="K15" i="4"/>
  <c r="K23" i="4"/>
  <c r="I15" i="4"/>
  <c r="I23" i="4"/>
  <c r="M4" i="4"/>
  <c r="M10" i="4" s="1"/>
  <c r="N3" i="4"/>
  <c r="I11" i="3"/>
  <c r="I14" i="3" s="1"/>
  <c r="L3" i="3"/>
  <c r="K4" i="3"/>
  <c r="K10" i="3" s="1"/>
  <c r="H23" i="2"/>
  <c r="M22" i="2"/>
  <c r="P20" i="2"/>
  <c r="N20" i="2"/>
  <c r="G18" i="2"/>
  <c r="G19" i="2" s="1"/>
  <c r="G21" i="2" s="1"/>
  <c r="G20" i="2" s="1"/>
  <c r="G15" i="2"/>
  <c r="J11" i="1" l="1"/>
  <c r="J14" i="1" s="1"/>
  <c r="M3" i="1"/>
  <c r="L4" i="1"/>
  <c r="L10" i="1" s="1"/>
  <c r="I11" i="2"/>
  <c r="I14" i="2" s="1"/>
  <c r="L3" i="2"/>
  <c r="K4" i="2"/>
  <c r="K10" i="2" s="1"/>
  <c r="O3" i="4"/>
  <c r="N4" i="4"/>
  <c r="N10" i="4" s="1"/>
  <c r="L11" i="4"/>
  <c r="L14" i="4" s="1"/>
  <c r="L4" i="3"/>
  <c r="L10" i="3" s="1"/>
  <c r="K11" i="3" s="1"/>
  <c r="K14" i="3" s="1"/>
  <c r="M3" i="3"/>
  <c r="J11" i="3"/>
  <c r="J14" i="3" s="1"/>
  <c r="G22" i="2"/>
  <c r="G23" i="2" s="1"/>
  <c r="N3" i="1" l="1"/>
  <c r="M4" i="1"/>
  <c r="M10" i="1" s="1"/>
  <c r="K11" i="1"/>
  <c r="K14" i="1" s="1"/>
  <c r="M3" i="2"/>
  <c r="L4" i="2"/>
  <c r="L10" i="2" s="1"/>
  <c r="J11" i="2"/>
  <c r="J14" i="2" s="1"/>
  <c r="I15" i="2"/>
  <c r="I23" i="2"/>
  <c r="L15" i="4"/>
  <c r="L23" i="4"/>
  <c r="P3" i="4"/>
  <c r="P4" i="4" s="1"/>
  <c r="P10" i="4" s="1"/>
  <c r="P11" i="4" s="1"/>
  <c r="P14" i="4" s="1"/>
  <c r="O4" i="4"/>
  <c r="O10" i="4" s="1"/>
  <c r="M11" i="4"/>
  <c r="M14" i="4" s="1"/>
  <c r="M4" i="3"/>
  <c r="M10" i="3" s="1"/>
  <c r="L11" i="3" s="1"/>
  <c r="L14" i="3" s="1"/>
  <c r="N3" i="3"/>
  <c r="O3" i="1" l="1"/>
  <c r="N4" i="1"/>
  <c r="N10" i="1" s="1"/>
  <c r="L11" i="1"/>
  <c r="L14" i="1" s="1"/>
  <c r="J15" i="2"/>
  <c r="J23" i="2"/>
  <c r="N3" i="2"/>
  <c r="M4" i="2"/>
  <c r="M10" i="2" s="1"/>
  <c r="K11" i="2"/>
  <c r="K14" i="2" s="1"/>
  <c r="M15" i="4"/>
  <c r="M23" i="4"/>
  <c r="P15" i="4"/>
  <c r="P23" i="4"/>
  <c r="O11" i="4"/>
  <c r="O14" i="4" s="1"/>
  <c r="N11" i="4"/>
  <c r="N14" i="4" s="1"/>
  <c r="N4" i="3"/>
  <c r="N10" i="3" s="1"/>
  <c r="M11" i="3" s="1"/>
  <c r="M14" i="3" s="1"/>
  <c r="O3" i="3"/>
  <c r="P3" i="1" l="1"/>
  <c r="P4" i="1" s="1"/>
  <c r="P10" i="1" s="1"/>
  <c r="P11" i="1" s="1"/>
  <c r="P14" i="1" s="1"/>
  <c r="O4" i="1"/>
  <c r="O10" i="1" s="1"/>
  <c r="M11" i="1"/>
  <c r="M14" i="1" s="1"/>
  <c r="K15" i="2"/>
  <c r="K23" i="2"/>
  <c r="O3" i="2"/>
  <c r="N4" i="2"/>
  <c r="N10" i="2" s="1"/>
  <c r="L11" i="2"/>
  <c r="L14" i="2" s="1"/>
  <c r="N23" i="4"/>
  <c r="N15" i="4"/>
  <c r="O15" i="4"/>
  <c r="O23" i="4"/>
  <c r="P3" i="3"/>
  <c r="P4" i="3" s="1"/>
  <c r="P10" i="3" s="1"/>
  <c r="P11" i="3" s="1"/>
  <c r="P14" i="3" s="1"/>
  <c r="O4" i="3"/>
  <c r="O10" i="3" s="1"/>
  <c r="O11" i="1" l="1"/>
  <c r="O14" i="1" s="1"/>
  <c r="N11" i="1"/>
  <c r="N14" i="1" s="1"/>
  <c r="L15" i="2"/>
  <c r="L23" i="2"/>
  <c r="O4" i="2"/>
  <c r="O10" i="2" s="1"/>
  <c r="O11" i="2" s="1"/>
  <c r="O14" i="2" s="1"/>
  <c r="P3" i="2"/>
  <c r="P4" i="2" s="1"/>
  <c r="P10" i="2" s="1"/>
  <c r="P11" i="2" s="1"/>
  <c r="P14" i="2" s="1"/>
  <c r="M11" i="2"/>
  <c r="M14" i="2" s="1"/>
  <c r="O11" i="3"/>
  <c r="O14" i="3" s="1"/>
  <c r="N11" i="3"/>
  <c r="N14" i="3" s="1"/>
  <c r="M15" i="2" l="1"/>
  <c r="M23" i="2"/>
  <c r="O15" i="2"/>
  <c r="O23" i="2"/>
  <c r="P15" i="2"/>
  <c r="P23" i="2"/>
  <c r="N11" i="2"/>
  <c r="N14" i="2" s="1"/>
  <c r="N15" i="2" l="1"/>
  <c r="N23" i="2"/>
</calcChain>
</file>

<file path=xl/sharedStrings.xml><?xml version="1.0" encoding="utf-8"?>
<sst xmlns="http://schemas.openxmlformats.org/spreadsheetml/2006/main" count="116" uniqueCount="25">
  <si>
    <t>L</t>
  </si>
  <si>
    <t>dx</t>
  </si>
  <si>
    <t>k</t>
  </si>
  <si>
    <t>R</t>
  </si>
  <si>
    <t>Cp</t>
  </si>
  <si>
    <t>p*</t>
  </si>
  <si>
    <t>p</t>
  </si>
  <si>
    <t>T*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</si>
  <si>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</si>
  <si>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</si>
  <si>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</si>
  <si>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</si>
  <si>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</si>
  <si>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</si>
  <si>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</si>
  <si>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</si>
  <si>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</si>
  <si>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</si>
  <si>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</si>
  <si>
    <t>U_3D</t>
  </si>
  <si>
    <t>p_3D</t>
  </si>
  <si>
    <t>G_3D</t>
  </si>
  <si>
    <t>Tau_lam</t>
  </si>
  <si>
    <t>Pi_lamda</t>
  </si>
  <si>
    <t>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</si>
</sst>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165" fontId="0" fillId="3" borderId="1" xfId="0" applyNumberFormat="1" applyFill="1" applyBorder="1"/>
    <xf numFmtId="166" fontId="0" fillId="3" borderId="1" xfId="0" applyNumberFormat="1" applyFill="1" applyBorder="1"/>
    <xf numFmtId="2" fontId="0" fillId="3" borderId="1" xfId="0" applyNumberFormat="1" applyFill="1" applyBorder="1"/>
    <xf numFmtId="164" fontId="0" fillId="3" borderId="1" xfId="0" applyNumberFormat="1" applyFill="1" applyBorder="1"/>
    <xf numFmtId="1" fontId="0" fillId="3" borderId="1" xfId="0" applyNumberFormat="1" applyFill="1" applyBorder="1"/>
    <xf numFmtId="1" fontId="0" fillId="2" borderId="1" xfId="0" applyNumberFormat="1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spPr>
            <a:ln>
              <a:solidFill>
                <a:srgbClr val="002060"/>
              </a:solidFill>
            </a:ln>
          </c:spPr>
          <c:marker>
            <c:symbol val="circle"/>
            <c:size val="5"/>
          </c:marker>
          <c:val>
            <c:numRef>
              <c:f>ro_const_p_135!$G$3:$Q$3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9A-4F3D-BFA9-9530A15F3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632544"/>
        <c:axId val="312628848"/>
      </c:lineChart>
      <c:catAx>
        <c:axId val="313632544"/>
        <c:scaling>
          <c:orientation val="minMax"/>
        </c:scaling>
        <c:delete val="0"/>
        <c:axPos val="b"/>
        <c:majorTickMark val="out"/>
        <c:minorTickMark val="none"/>
        <c:tickLblPos val="nextTo"/>
        <c:crossAx val="312628848"/>
        <c:crosses val="autoZero"/>
        <c:auto val="1"/>
        <c:lblAlgn val="ctr"/>
        <c:lblOffset val="100"/>
        <c:noMultiLvlLbl val="0"/>
      </c:catAx>
      <c:valAx>
        <c:axId val="31262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363254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5"/>
          <c:y val="7.4548702245552628E-2"/>
          <c:w val="0.70526137357830299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spPr>
            <a:ln>
              <a:solidFill>
                <a:srgbClr val="002060"/>
              </a:solidFill>
            </a:ln>
          </c:spPr>
          <c:marker>
            <c:symbol val="circle"/>
            <c:size val="5"/>
            <c:spPr>
              <a:ln>
                <a:solidFill>
                  <a:srgbClr val="002060"/>
                </a:solidFill>
              </a:ln>
            </c:spPr>
          </c:marker>
          <c:val>
            <c:numRef>
              <c:f>ro_const_p_135!$G$10:$Q$10</c:f>
              <c:numCache>
                <c:formatCode>0.000</c:formatCode>
                <c:ptCount val="11"/>
                <c:pt idx="0">
                  <c:v>1.3663230263056279</c:v>
                </c:pt>
                <c:pt idx="1">
                  <c:v>1.3663263013742526</c:v>
                </c:pt>
                <c:pt idx="2">
                  <c:v>1.3665103029252428</c:v>
                </c:pt>
                <c:pt idx="3">
                  <c:v>1.3667753009619521</c:v>
                </c:pt>
                <c:pt idx="4">
                  <c:v>1.3670884586590171</c:v>
                </c:pt>
                <c:pt idx="5">
                  <c:v>1.3674135434723675</c:v>
                </c:pt>
                <c:pt idx="6">
                  <c:v>1.3677139174355106</c:v>
                </c:pt>
                <c:pt idx="7">
                  <c:v>1.3679573669568434</c:v>
                </c:pt>
                <c:pt idx="8">
                  <c:v>1.3681227123339412</c:v>
                </c:pt>
                <c:pt idx="9">
                  <c:v>1.3682070286545376</c:v>
                </c:pt>
                <c:pt idx="10">
                  <c:v>1.3682301519337141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08-4E4A-A704-C50695FE0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29240"/>
        <c:axId val="312622184"/>
      </c:lineChart>
      <c:catAx>
        <c:axId val="312629240"/>
        <c:scaling>
          <c:orientation val="minMax"/>
        </c:scaling>
        <c:delete val="0"/>
        <c:axPos val="b"/>
        <c:majorTickMark val="out"/>
        <c:minorTickMark val="none"/>
        <c:tickLblPos val="nextTo"/>
        <c:crossAx val="312622184"/>
        <c:crosses val="autoZero"/>
        <c:auto val="1"/>
        <c:lblAlgn val="ctr"/>
        <c:lblOffset val="100"/>
        <c:noMultiLvlLbl val="0"/>
      </c:catAx>
      <c:valAx>
        <c:axId val="31262218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12629240"/>
        <c:crosses val="autoZero"/>
        <c:crossBetween val="between"/>
      </c:valAx>
    </c:plotArea>
    <c:plotVisOnly val="1"/>
    <c:dispBlanksAs val="zero"/>
    <c:showDLblsOverMax val="0"/>
  </c:chart>
  <c:spPr>
    <a:ln>
      <a:solidFill>
        <a:srgbClr val="002060"/>
      </a:solidFill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8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spPr>
            <a:ln>
              <a:solidFill>
                <a:srgbClr val="002060"/>
              </a:solidFill>
            </a:ln>
          </c:spPr>
          <c:marker>
            <c:symbol val="circle"/>
            <c:size val="5"/>
          </c:marker>
          <c:val>
            <c:numRef>
              <c:f>ro_const_p_135!$G$14:$Q$14</c:f>
              <c:numCache>
                <c:formatCode>General</c:formatCode>
                <c:ptCount val="11"/>
                <c:pt idx="0" formatCode="0">
                  <c:v>133051.50751315849</c:v>
                </c:pt>
                <c:pt idx="1">
                  <c:v>132584.9855459242</c:v>
                </c:pt>
                <c:pt idx="2">
                  <c:v>131975.29471343619</c:v>
                </c:pt>
                <c:pt idx="3">
                  <c:v>131166.97397676896</c:v>
                </c:pt>
                <c:pt idx="4">
                  <c:v>130077.38010695799</c:v>
                </c:pt>
                <c:pt idx="5">
                  <c:v>128580.92256692215</c:v>
                </c:pt>
                <c:pt idx="6">
                  <c:v>126481.53913930518</c:v>
                </c:pt>
                <c:pt idx="7">
                  <c:v>123463.59123178248</c:v>
                </c:pt>
                <c:pt idx="8">
                  <c:v>119000.60197735562</c:v>
                </c:pt>
                <c:pt idx="9">
                  <c:v>112177.49537738654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7-42DF-8426-5607E43B1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23360"/>
        <c:axId val="312626888"/>
      </c:lineChart>
      <c:catAx>
        <c:axId val="312623360"/>
        <c:scaling>
          <c:orientation val="minMax"/>
        </c:scaling>
        <c:delete val="0"/>
        <c:axPos val="b"/>
        <c:majorTickMark val="out"/>
        <c:minorTickMark val="none"/>
        <c:tickLblPos val="nextTo"/>
        <c:crossAx val="312626888"/>
        <c:crosses val="autoZero"/>
        <c:auto val="1"/>
        <c:lblAlgn val="ctr"/>
        <c:lblOffset val="100"/>
        <c:noMultiLvlLbl val="0"/>
      </c:catAx>
      <c:valAx>
        <c:axId val="31262688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1262336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spPr>
            <a:ln>
              <a:solidFill>
                <a:srgbClr val="002060"/>
              </a:solidFill>
            </a:ln>
          </c:spPr>
          <c:marker>
            <c:symbol val="circle"/>
            <c:size val="5"/>
          </c:marker>
          <c:val>
            <c:numRef>
              <c:f>ro_const_p_135!$G$13:$Q$13</c:f>
              <c:numCache>
                <c:formatCode>0.00</c:formatCode>
                <c:ptCount val="11"/>
                <c:pt idx="0" formatCode="General">
                  <c:v>57.34627201920317</c:v>
                </c:pt>
                <c:pt idx="1">
                  <c:v>63.541727953346616</c:v>
                </c:pt>
                <c:pt idx="2">
                  <c:v>70.807570680495544</c:v>
                </c:pt>
                <c:pt idx="3">
                  <c:v>79.398276190270423</c:v>
                </c:pt>
                <c:pt idx="4">
                  <c:v>89.653747131898925</c:v>
                </c:pt>
                <c:pt idx="5">
                  <c:v>102.03029755950854</c:v>
                </c:pt>
                <c:pt idx="6">
                  <c:v>117.15234580612358</c:v>
                </c:pt>
                <c:pt idx="7">
                  <c:v>135.89317709669413</c:v>
                </c:pt>
                <c:pt idx="8">
                  <c:v>159.50501964972906</c:v>
                </c:pt>
                <c:pt idx="9">
                  <c:v>189.83585432876907</c:v>
                </c:pt>
                <c:pt idx="10">
                  <c:v>229.70526578863459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C5-4240-9219-7906333A6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24144"/>
        <c:axId val="312624536"/>
      </c:lineChart>
      <c:catAx>
        <c:axId val="312624144"/>
        <c:scaling>
          <c:orientation val="minMax"/>
        </c:scaling>
        <c:delete val="0"/>
        <c:axPos val="b"/>
        <c:majorTickMark val="out"/>
        <c:minorTickMark val="none"/>
        <c:tickLblPos val="nextTo"/>
        <c:crossAx val="312624536"/>
        <c:crosses val="autoZero"/>
        <c:auto val="1"/>
        <c:lblAlgn val="ctr"/>
        <c:lblOffset val="100"/>
        <c:noMultiLvlLbl val="0"/>
      </c:catAx>
      <c:valAx>
        <c:axId val="312624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62414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spPr>
            <a:ln>
              <a:solidFill>
                <a:srgbClr val="002060"/>
              </a:solidFill>
            </a:ln>
          </c:spPr>
          <c:marker>
            <c:symbol val="circle"/>
            <c:size val="5"/>
          </c:marker>
          <c:val>
            <c:numRef>
              <c:f>ro_const_p_135!$G$3:$Q$3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40-419D-9F3F-C9361C35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4200"/>
        <c:axId val="350364984"/>
      </c:lineChart>
      <c:catAx>
        <c:axId val="350364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4984"/>
        <c:crosses val="autoZero"/>
        <c:auto val="1"/>
        <c:lblAlgn val="ctr"/>
        <c:lblOffset val="100"/>
        <c:noMultiLvlLbl val="0"/>
      </c:catAx>
      <c:valAx>
        <c:axId val="350364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420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spPr>
            <a:ln>
              <a:solidFill>
                <a:srgbClr val="002060"/>
              </a:solidFill>
            </a:ln>
          </c:spPr>
          <c:marker>
            <c:symbol val="circle"/>
            <c:size val="5"/>
          </c:marker>
          <c:val>
            <c:numRef>
              <c:f>ro_var_p_135!$G$10:$Q$10</c:f>
              <c:numCache>
                <c:formatCode>0.000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C-4399-971A-31A66CF42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0672"/>
        <c:axId val="350361064"/>
      </c:lineChart>
      <c:catAx>
        <c:axId val="35036067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1064"/>
        <c:crosses val="autoZero"/>
        <c:auto val="1"/>
        <c:lblAlgn val="ctr"/>
        <c:lblOffset val="100"/>
        <c:noMultiLvlLbl val="0"/>
      </c:catAx>
      <c:valAx>
        <c:axId val="35036106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5036067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spPr>
            <a:ln>
              <a:solidFill>
                <a:srgbClr val="002060"/>
              </a:solidFill>
            </a:ln>
          </c:spPr>
          <c:marker>
            <c:symbol val="circle"/>
            <c:size val="5"/>
          </c:marker>
          <c:val>
            <c:numRef>
              <c:f>ro_const_p_135!$G$14:$Q$14</c:f>
              <c:numCache>
                <c:formatCode>General</c:formatCode>
                <c:ptCount val="11"/>
                <c:pt idx="0" formatCode="0">
                  <c:v>133051.50751315849</c:v>
                </c:pt>
                <c:pt idx="1">
                  <c:v>132584.9855459242</c:v>
                </c:pt>
                <c:pt idx="2">
                  <c:v>131975.29471343619</c:v>
                </c:pt>
                <c:pt idx="3">
                  <c:v>131166.97397676896</c:v>
                </c:pt>
                <c:pt idx="4">
                  <c:v>130077.38010695799</c:v>
                </c:pt>
                <c:pt idx="5">
                  <c:v>128580.92256692215</c:v>
                </c:pt>
                <c:pt idx="6">
                  <c:v>126481.53913930518</c:v>
                </c:pt>
                <c:pt idx="7">
                  <c:v>123463.59123178248</c:v>
                </c:pt>
                <c:pt idx="8">
                  <c:v>119000.60197735562</c:v>
                </c:pt>
                <c:pt idx="9">
                  <c:v>112177.49537738654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DB-45E1-BB8E-6F79AA48B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768"/>
        <c:axId val="350359496"/>
      </c:lineChart>
      <c:catAx>
        <c:axId val="350365768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496"/>
        <c:crosses val="autoZero"/>
        <c:auto val="1"/>
        <c:lblAlgn val="ctr"/>
        <c:lblOffset val="100"/>
        <c:noMultiLvlLbl val="0"/>
      </c:catAx>
      <c:valAx>
        <c:axId val="35035949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5036576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spPr>
            <a:ln>
              <a:solidFill>
                <a:srgbClr val="002060"/>
              </a:solidFill>
            </a:ln>
          </c:spPr>
          <c:marker>
            <c:symbol val="circle"/>
            <c:size val="5"/>
          </c:marker>
          <c:val>
            <c:numRef>
              <c:f>ro_const_p_135!$G$13:$Q$13</c:f>
              <c:numCache>
                <c:formatCode>0.00</c:formatCode>
                <c:ptCount val="11"/>
                <c:pt idx="0" formatCode="General">
                  <c:v>57.34627201920317</c:v>
                </c:pt>
                <c:pt idx="1">
                  <c:v>63.541727953346616</c:v>
                </c:pt>
                <c:pt idx="2">
                  <c:v>70.807570680495544</c:v>
                </c:pt>
                <c:pt idx="3">
                  <c:v>79.398276190270423</c:v>
                </c:pt>
                <c:pt idx="4">
                  <c:v>89.653747131898925</c:v>
                </c:pt>
                <c:pt idx="5">
                  <c:v>102.03029755950854</c:v>
                </c:pt>
                <c:pt idx="6">
                  <c:v>117.15234580612358</c:v>
                </c:pt>
                <c:pt idx="7">
                  <c:v>135.89317709669413</c:v>
                </c:pt>
                <c:pt idx="8">
                  <c:v>159.50501964972906</c:v>
                </c:pt>
                <c:pt idx="9">
                  <c:v>189.83585432876907</c:v>
                </c:pt>
                <c:pt idx="10">
                  <c:v>229.70526578863459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36-4E2C-A079-6D27B8A1D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2632"/>
        <c:axId val="350360280"/>
      </c:lineChart>
      <c:catAx>
        <c:axId val="35036263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0280"/>
        <c:crosses val="autoZero"/>
        <c:auto val="1"/>
        <c:lblAlgn val="ctr"/>
        <c:lblOffset val="100"/>
        <c:noMultiLvlLbl val="0"/>
      </c:catAx>
      <c:valAx>
        <c:axId val="350360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263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8.1717244377049678E-2"/>
          <c:y val="0.2179515828406304"/>
          <c:w val="0.54736707028224751"/>
          <c:h val="0.68921672163286607"/>
        </c:manualLayout>
      </c:layout>
      <c:lineChart>
        <c:grouping val="stacked"/>
        <c:varyColors val="0"/>
        <c:ser>
          <c:idx val="0"/>
          <c:order val="0"/>
          <c:tx>
            <c:v>Геометрия канала</c:v>
          </c:tx>
          <c:spPr>
            <a:ln>
              <a:solidFill>
                <a:srgbClr val="002060"/>
              </a:solidFill>
            </a:ln>
          </c:spPr>
          <c:marker>
            <c:symbol val="circle"/>
            <c:size val="5"/>
          </c:marker>
          <c:val>
            <c:numRef>
              <c:f>ro_const_p_135!$G$3:$Q$3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6B-4B00-A34C-C7851ED91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3416"/>
        <c:axId val="350362240"/>
      </c:lineChart>
      <c:catAx>
        <c:axId val="350363416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2240"/>
        <c:crosses val="autoZero"/>
        <c:auto val="1"/>
        <c:lblAlgn val="ctr"/>
        <c:lblOffset val="100"/>
        <c:noMultiLvlLbl val="0"/>
      </c:catAx>
      <c:valAx>
        <c:axId val="35036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341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spPr>
            <a:ln>
              <a:solidFill>
                <a:srgbClr val="002060"/>
              </a:solidFill>
            </a:ln>
          </c:spPr>
          <c:marker>
            <c:symbol val="circle"/>
            <c:size val="5"/>
          </c:marker>
          <c:val>
            <c:numRef>
              <c:f>ro_var_p_105!$G$10:$Q$10</c:f>
              <c:numCache>
                <c:formatCode>0.000</c:formatCode>
                <c:ptCount val="11"/>
                <c:pt idx="0">
                  <c:v>0.45871325030348642</c:v>
                </c:pt>
                <c:pt idx="1">
                  <c:v>0.45871324872221131</c:v>
                </c:pt>
                <c:pt idx="2">
                  <c:v>0.45871316152426439</c:v>
                </c:pt>
                <c:pt idx="3">
                  <c:v>0.45871308612899819</c:v>
                </c:pt>
                <c:pt idx="4">
                  <c:v>0.45871302463939795</c:v>
                </c:pt>
                <c:pt idx="5">
                  <c:v>0.45871297842879383</c:v>
                </c:pt>
                <c:pt idx="6">
                  <c:v>0.45871294775317539</c:v>
                </c:pt>
                <c:pt idx="7">
                  <c:v>0.45871293136255625</c:v>
                </c:pt>
                <c:pt idx="8">
                  <c:v>0.45871292624911958</c:v>
                </c:pt>
                <c:pt idx="9">
                  <c:v>0.45871292778383282</c:v>
                </c:pt>
                <c:pt idx="10">
                  <c:v>0.45871293060824231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36-4502-9FCD-32363AE22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376"/>
        <c:axId val="350358320"/>
      </c:lineChart>
      <c:catAx>
        <c:axId val="350365376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8320"/>
        <c:crosses val="autoZero"/>
        <c:auto val="1"/>
        <c:lblAlgn val="ctr"/>
        <c:lblOffset val="100"/>
        <c:noMultiLvlLbl val="0"/>
      </c:catAx>
      <c:valAx>
        <c:axId val="35035832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5036537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spPr>
            <a:ln>
              <a:solidFill>
                <a:srgbClr val="002060"/>
              </a:solidFill>
            </a:ln>
          </c:spPr>
          <c:marker>
            <c:symbol val="circle"/>
            <c:size val="5"/>
          </c:marker>
          <c:val>
            <c:numRef>
              <c:f>ro_const_p_105!$G$14:$Q$14</c:f>
              <c:numCache>
                <c:formatCode>General</c:formatCode>
                <c:ptCount val="11"/>
                <c:pt idx="0" formatCode="0">
                  <c:v>104787.35932845269</c:v>
                </c:pt>
                <c:pt idx="1">
                  <c:v>104736.44739088853</c:v>
                </c:pt>
                <c:pt idx="2">
                  <c:v>104669.91150684966</c:v>
                </c:pt>
                <c:pt idx="3">
                  <c:v>104581.69876837725</c:v>
                </c:pt>
                <c:pt idx="4">
                  <c:v>104462.79013651557</c:v>
                </c:pt>
                <c:pt idx="5">
                  <c:v>104299.47966668912</c:v>
                </c:pt>
                <c:pt idx="6">
                  <c:v>104070.3707546783</c:v>
                </c:pt>
                <c:pt idx="7">
                  <c:v>103741.01730906773</c:v>
                </c:pt>
                <c:pt idx="8">
                  <c:v>103253.96426653017</c:v>
                </c:pt>
                <c:pt idx="9">
                  <c:v>102509.34835039773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1B-4D23-8E52-459449B20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58712"/>
        <c:axId val="350359104"/>
      </c:lineChart>
      <c:catAx>
        <c:axId val="35035871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104"/>
        <c:crosses val="autoZero"/>
        <c:auto val="1"/>
        <c:lblAlgn val="ctr"/>
        <c:lblOffset val="100"/>
        <c:noMultiLvlLbl val="0"/>
      </c:catAx>
      <c:valAx>
        <c:axId val="35035910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5035871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spPr>
            <a:ln>
              <a:solidFill>
                <a:srgbClr val="002060"/>
              </a:solidFill>
            </a:ln>
          </c:spPr>
          <c:marker>
            <c:symbol val="circle"/>
            <c:size val="5"/>
          </c:marker>
          <c:val>
            <c:numRef>
              <c:f>ro_const_p_105!$G$13:$Q$13</c:f>
              <c:numCache>
                <c:formatCode>0.00</c:formatCode>
                <c:ptCount val="11"/>
                <c:pt idx="0" formatCode="General">
                  <c:v>18.944318656593634</c:v>
                </c:pt>
                <c:pt idx="1">
                  <c:v>20.990985003017538</c:v>
                </c:pt>
                <c:pt idx="2">
                  <c:v>23.391246646933169</c:v>
                </c:pt>
                <c:pt idx="3">
                  <c:v>26.229183277055121</c:v>
                </c:pt>
                <c:pt idx="4">
                  <c:v>29.617082415144949</c:v>
                </c:pt>
                <c:pt idx="5">
                  <c:v>33.705687546343334</c:v>
                </c:pt>
                <c:pt idx="6">
                  <c:v>38.70127456379624</c:v>
                </c:pt>
                <c:pt idx="7">
                  <c:v>44.892331455419011</c:v>
                </c:pt>
                <c:pt idx="8">
                  <c:v>52.692528974875373</c:v>
                </c:pt>
                <c:pt idx="9">
                  <c:v>62.712344407440831</c:v>
                </c:pt>
                <c:pt idx="10">
                  <c:v>75.883225852584502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3-4BA9-83C1-933399BE7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26496"/>
        <c:axId val="349939728"/>
      </c:lineChart>
      <c:catAx>
        <c:axId val="312626496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9728"/>
        <c:crosses val="autoZero"/>
        <c:auto val="1"/>
        <c:lblAlgn val="ctr"/>
        <c:lblOffset val="100"/>
        <c:noMultiLvlLbl val="0"/>
      </c:catAx>
      <c:valAx>
        <c:axId val="349939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62649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spPr>
            <a:ln>
              <a:solidFill>
                <a:srgbClr val="002060"/>
              </a:solidFill>
            </a:ln>
          </c:spPr>
          <c:marker>
            <c:symbol val="circle"/>
            <c:size val="5"/>
          </c:marker>
          <c:val>
            <c:numRef>
              <c:f>ro_const_p_135!$G$3:$Q$3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60-4585-BCF0-E568A6A05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0120"/>
        <c:axId val="349936984"/>
      </c:lineChart>
      <c:catAx>
        <c:axId val="34994012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6984"/>
        <c:crosses val="autoZero"/>
        <c:auto val="1"/>
        <c:lblAlgn val="ctr"/>
        <c:lblOffset val="100"/>
        <c:noMultiLvlLbl val="0"/>
      </c:catAx>
      <c:valAx>
        <c:axId val="349936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94012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62"/>
          <c:y val="7.4548702245552628E-2"/>
          <c:w val="0.7052613735783034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spPr>
            <a:ln>
              <a:solidFill>
                <a:srgbClr val="002060"/>
              </a:solidFill>
            </a:ln>
          </c:spPr>
          <c:marker>
            <c:symbol val="circle"/>
            <c:size val="5"/>
          </c:marker>
          <c:val>
            <c:numRef>
              <c:f>ro_var_p_105!$G$10:$Q$10</c:f>
              <c:numCache>
                <c:formatCode>0.000</c:formatCode>
                <c:ptCount val="11"/>
                <c:pt idx="0">
                  <c:v>0.45871325030348642</c:v>
                </c:pt>
                <c:pt idx="1">
                  <c:v>0.45871324872221131</c:v>
                </c:pt>
                <c:pt idx="2">
                  <c:v>0.45871316152426439</c:v>
                </c:pt>
                <c:pt idx="3">
                  <c:v>0.45871308612899819</c:v>
                </c:pt>
                <c:pt idx="4">
                  <c:v>0.45871302463939795</c:v>
                </c:pt>
                <c:pt idx="5">
                  <c:v>0.45871297842879383</c:v>
                </c:pt>
                <c:pt idx="6">
                  <c:v>0.45871294775317539</c:v>
                </c:pt>
                <c:pt idx="7">
                  <c:v>0.45871293136255625</c:v>
                </c:pt>
                <c:pt idx="8">
                  <c:v>0.45871292624911958</c:v>
                </c:pt>
                <c:pt idx="9">
                  <c:v>0.45871292778383282</c:v>
                </c:pt>
                <c:pt idx="10">
                  <c:v>0.45871293060824231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D-4379-96B5-CD5F3572D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2864"/>
        <c:axId val="349942472"/>
      </c:lineChart>
      <c:catAx>
        <c:axId val="349942864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42472"/>
        <c:crosses val="autoZero"/>
        <c:auto val="1"/>
        <c:lblAlgn val="ctr"/>
        <c:lblOffset val="100"/>
        <c:noMultiLvlLbl val="0"/>
      </c:catAx>
      <c:valAx>
        <c:axId val="34994247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9942864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spPr>
            <a:ln>
              <a:solidFill>
                <a:srgbClr val="002060"/>
              </a:solidFill>
            </a:ln>
          </c:spPr>
          <c:marker>
            <c:symbol val="circle"/>
            <c:size val="5"/>
          </c:marker>
          <c:val>
            <c:numRef>
              <c:f>ro_var_p_105!$G$14:$Q$14</c:f>
              <c:numCache>
                <c:formatCode>0</c:formatCode>
                <c:ptCount val="11"/>
                <c:pt idx="0">
                  <c:v>104794.74978835271</c:v>
                </c:pt>
                <c:pt idx="1">
                  <c:v>104745.43831037788</c:v>
                </c:pt>
                <c:pt idx="2">
                  <c:v>104681.00910905236</c:v>
                </c:pt>
                <c:pt idx="3">
                  <c:v>104595.52320666726</c:v>
                </c:pt>
                <c:pt idx="4">
                  <c:v>104480.11692357897</c:v>
                </c:pt>
                <c:pt idx="5">
                  <c:v>104321.21850568628</c:v>
                </c:pt>
                <c:pt idx="6">
                  <c:v>104097.42556200358</c:v>
                </c:pt>
                <c:pt idx="7">
                  <c:v>103773.80166417948</c:v>
                </c:pt>
                <c:pt idx="8">
                  <c:v>103290.91519233238</c:v>
                </c:pt>
                <c:pt idx="9">
                  <c:v>102542.39464981064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3E-4E05-83C9-ED0765755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36200"/>
        <c:axId val="349938160"/>
      </c:lineChart>
      <c:catAx>
        <c:axId val="349936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8160"/>
        <c:crosses val="autoZero"/>
        <c:auto val="1"/>
        <c:lblAlgn val="ctr"/>
        <c:lblOffset val="100"/>
        <c:noMultiLvlLbl val="0"/>
      </c:catAx>
      <c:valAx>
        <c:axId val="3499381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49936200"/>
        <c:crosses val="autoZero"/>
        <c:crossBetween val="between"/>
      </c:valAx>
      <c:spPr>
        <a:ln>
          <a:solidFill>
            <a:srgbClr val="002060">
              <a:alpha val="99000"/>
            </a:srgbClr>
          </a:solidFill>
        </a:ln>
      </c:spPr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spPr>
            <a:ln>
              <a:solidFill>
                <a:srgbClr val="002060"/>
              </a:solidFill>
            </a:ln>
          </c:spPr>
          <c:marker>
            <c:symbol val="circle"/>
            <c:size val="5"/>
          </c:marker>
          <c:val>
            <c:numRef>
              <c:f>ro_var_p_105!$G$13:$Q$13</c:f>
              <c:numCache>
                <c:formatCode>0.00</c:formatCode>
                <c:ptCount val="11"/>
                <c:pt idx="0" formatCode="General">
                  <c:v>17.992941614163708</c:v>
                </c:pt>
                <c:pt idx="1">
                  <c:v>19.943611697803838</c:v>
                </c:pt>
                <c:pt idx="2">
                  <c:v>22.231087112865424</c:v>
                </c:pt>
                <c:pt idx="3">
                  <c:v>24.93829174885219</c:v>
                </c:pt>
                <c:pt idx="4">
                  <c:v>28.175705549346908</c:v>
                </c:pt>
                <c:pt idx="5">
                  <c:v>32.093403281185275</c:v>
                </c:pt>
                <c:pt idx="6">
                  <c:v>36.899929549827299</c:v>
                </c:pt>
                <c:pt idx="7">
                  <c:v>42.893093555672962</c:v>
                </c:pt>
                <c:pt idx="8">
                  <c:v>50.512767861201937</c:v>
                </c:pt>
                <c:pt idx="9">
                  <c:v>60.43748115670089</c:v>
                </c:pt>
                <c:pt idx="10">
                  <c:v>73.777617301021252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96-4880-BC9F-38E560DF1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2080"/>
        <c:axId val="349937768"/>
      </c:lineChart>
      <c:catAx>
        <c:axId val="34994208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7768"/>
        <c:crosses val="autoZero"/>
        <c:auto val="1"/>
        <c:lblAlgn val="ctr"/>
        <c:lblOffset val="100"/>
        <c:noMultiLvlLbl val="0"/>
      </c:catAx>
      <c:valAx>
        <c:axId val="349937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94208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22</xdr:row>
      <xdr:rowOff>76647</xdr:rowOff>
    </xdr:from>
    <xdr:to>
      <xdr:col>8</xdr:col>
      <xdr:colOff>86958</xdr:colOff>
      <xdr:row>37</xdr:row>
      <xdr:rowOff>76648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37</xdr:row>
      <xdr:rowOff>161365</xdr:rowOff>
    </xdr:from>
    <xdr:to>
      <xdr:col>7</xdr:col>
      <xdr:colOff>708211</xdr:colOff>
      <xdr:row>54</xdr:row>
      <xdr:rowOff>62752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71718</xdr:colOff>
      <xdr:row>28</xdr:row>
      <xdr:rowOff>8966</xdr:rowOff>
    </xdr:from>
    <xdr:to>
      <xdr:col>17</xdr:col>
      <xdr:colOff>376518</xdr:colOff>
      <xdr:row>43</xdr:row>
      <xdr:rowOff>62754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107577</xdr:colOff>
      <xdr:row>44</xdr:row>
      <xdr:rowOff>35860</xdr:rowOff>
    </xdr:from>
    <xdr:to>
      <xdr:col>17</xdr:col>
      <xdr:colOff>412377</xdr:colOff>
      <xdr:row>59</xdr:row>
      <xdr:rowOff>89648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29</xdr:row>
      <xdr:rowOff>76647</xdr:rowOff>
    </xdr:from>
    <xdr:to>
      <xdr:col>8</xdr:col>
      <xdr:colOff>86958</xdr:colOff>
      <xdr:row>44</xdr:row>
      <xdr:rowOff>76648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44</xdr:row>
      <xdr:rowOff>161365</xdr:rowOff>
    </xdr:from>
    <xdr:to>
      <xdr:col>7</xdr:col>
      <xdr:colOff>708211</xdr:colOff>
      <xdr:row>61</xdr:row>
      <xdr:rowOff>62752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71718</xdr:colOff>
      <xdr:row>35</xdr:row>
      <xdr:rowOff>8966</xdr:rowOff>
    </xdr:from>
    <xdr:to>
      <xdr:col>17</xdr:col>
      <xdr:colOff>376518</xdr:colOff>
      <xdr:row>50</xdr:row>
      <xdr:rowOff>62754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107577</xdr:colOff>
      <xdr:row>51</xdr:row>
      <xdr:rowOff>35860</xdr:rowOff>
    </xdr:from>
    <xdr:to>
      <xdr:col>17</xdr:col>
      <xdr:colOff>412377</xdr:colOff>
      <xdr:row>66</xdr:row>
      <xdr:rowOff>89648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22</xdr:row>
      <xdr:rowOff>76647</xdr:rowOff>
    </xdr:from>
    <xdr:to>
      <xdr:col>8</xdr:col>
      <xdr:colOff>86958</xdr:colOff>
      <xdr:row>37</xdr:row>
      <xdr:rowOff>76648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37</xdr:row>
      <xdr:rowOff>161365</xdr:rowOff>
    </xdr:from>
    <xdr:to>
      <xdr:col>7</xdr:col>
      <xdr:colOff>708211</xdr:colOff>
      <xdr:row>54</xdr:row>
      <xdr:rowOff>62752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71718</xdr:colOff>
      <xdr:row>28</xdr:row>
      <xdr:rowOff>8966</xdr:rowOff>
    </xdr:from>
    <xdr:to>
      <xdr:col>17</xdr:col>
      <xdr:colOff>376518</xdr:colOff>
      <xdr:row>43</xdr:row>
      <xdr:rowOff>62754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107577</xdr:colOff>
      <xdr:row>44</xdr:row>
      <xdr:rowOff>35860</xdr:rowOff>
    </xdr:from>
    <xdr:to>
      <xdr:col>17</xdr:col>
      <xdr:colOff>412377</xdr:colOff>
      <xdr:row>59</xdr:row>
      <xdr:rowOff>89648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29</xdr:row>
      <xdr:rowOff>76647</xdr:rowOff>
    </xdr:from>
    <xdr:to>
      <xdr:col>8</xdr:col>
      <xdr:colOff>86958</xdr:colOff>
      <xdr:row>44</xdr:row>
      <xdr:rowOff>76648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44</xdr:row>
      <xdr:rowOff>161365</xdr:rowOff>
    </xdr:from>
    <xdr:to>
      <xdr:col>7</xdr:col>
      <xdr:colOff>708211</xdr:colOff>
      <xdr:row>61</xdr:row>
      <xdr:rowOff>62752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71718</xdr:colOff>
      <xdr:row>35</xdr:row>
      <xdr:rowOff>8966</xdr:rowOff>
    </xdr:from>
    <xdr:to>
      <xdr:col>17</xdr:col>
      <xdr:colOff>376518</xdr:colOff>
      <xdr:row>50</xdr:row>
      <xdr:rowOff>62754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107577</xdr:colOff>
      <xdr:row>51</xdr:row>
      <xdr:rowOff>35860</xdr:rowOff>
    </xdr:from>
    <xdr:to>
      <xdr:col>17</xdr:col>
      <xdr:colOff>412377</xdr:colOff>
      <xdr:row>66</xdr:row>
      <xdr:rowOff>89648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Q26"/>
  <sheetViews>
    <sheetView tabSelected="1" zoomScaleNormal="100" workbookViewId="0">
      <selection activeCell="S12" sqref="S12"/>
    </sheetView>
  </sheetViews>
  <sheetFormatPr defaultRowHeight="14.4" x14ac:dyDescent="0.3"/>
  <cols>
    <col min="7" max="7" width="9.44140625" bestFit="1" customWidth="1"/>
    <col min="8" max="8" width="10.44140625" bestFit="1" customWidth="1"/>
  </cols>
  <sheetData>
    <row r="1" spans="2:17" x14ac:dyDescent="0.3">
      <c r="F1" s="3" t="s">
        <v>9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</row>
    <row r="2" spans="2:17" x14ac:dyDescent="0.3">
      <c r="F2" s="3" t="s">
        <v>10</v>
      </c>
      <c r="G2" s="4">
        <v>0</v>
      </c>
      <c r="H2" s="4">
        <f>G2+$C$4</f>
        <v>0.01</v>
      </c>
      <c r="I2" s="4">
        <f t="shared" ref="I2:Q2" si="0">H2+$C$4</f>
        <v>0.02</v>
      </c>
      <c r="J2" s="4">
        <f t="shared" si="0"/>
        <v>0.03</v>
      </c>
      <c r="K2" s="4">
        <f t="shared" si="0"/>
        <v>0.04</v>
      </c>
      <c r="L2" s="4">
        <f t="shared" si="0"/>
        <v>0.05</v>
      </c>
      <c r="M2" s="4">
        <f t="shared" si="0"/>
        <v>6.0000000000000005E-2</v>
      </c>
      <c r="N2" s="4">
        <f t="shared" si="0"/>
        <v>7.0000000000000007E-2</v>
      </c>
      <c r="O2" s="4">
        <f t="shared" si="0"/>
        <v>0.08</v>
      </c>
      <c r="P2" s="4">
        <f t="shared" si="0"/>
        <v>0.09</v>
      </c>
      <c r="Q2" s="4">
        <f t="shared" si="0"/>
        <v>9.9999999999999992E-2</v>
      </c>
    </row>
    <row r="3" spans="2:17" x14ac:dyDescent="0.3">
      <c r="B3" s="3" t="s">
        <v>0</v>
      </c>
      <c r="C3" s="3">
        <v>0.1</v>
      </c>
      <c r="F3" s="3" t="s">
        <v>3</v>
      </c>
      <c r="G3" s="1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1">
        <v>0.04</v>
      </c>
    </row>
    <row r="4" spans="2:17" x14ac:dyDescent="0.3">
      <c r="B4" s="3" t="s">
        <v>1</v>
      </c>
      <c r="C4" s="3">
        <f>C3/10</f>
        <v>0.01</v>
      </c>
      <c r="F4" s="3" t="s">
        <v>11</v>
      </c>
      <c r="G4" s="4">
        <f>(PI()*(2*G3)^2)/4</f>
        <v>2.0106192982974676E-2</v>
      </c>
      <c r="H4" s="4">
        <f t="shared" ref="H4:Q4" si="2">(PI()*(2*H3)^2)/4</f>
        <v>1.8145839167134643E-2</v>
      </c>
      <c r="I4" s="4">
        <f t="shared" si="2"/>
        <v>1.6286016316209486E-2</v>
      </c>
      <c r="J4" s="4">
        <f t="shared" si="2"/>
        <v>1.4526724430199199E-2</v>
      </c>
      <c r="K4" s="4">
        <f t="shared" si="2"/>
        <v>1.2867963509103787E-2</v>
      </c>
      <c r="L4" s="4">
        <f t="shared" si="2"/>
        <v>1.1309733552923249E-2</v>
      </c>
      <c r="M4" s="4">
        <f t="shared" si="2"/>
        <v>9.8520345616575841E-3</v>
      </c>
      <c r="N4" s="4">
        <f t="shared" si="2"/>
        <v>8.4948665353067939E-3</v>
      </c>
      <c r="O4" s="4">
        <f t="shared" si="2"/>
        <v>7.2382294738708754E-3</v>
      </c>
      <c r="P4" s="4">
        <f t="shared" si="2"/>
        <v>6.0821233773498311E-3</v>
      </c>
      <c r="Q4" s="4">
        <f t="shared" si="2"/>
        <v>5.0265482457436689E-3</v>
      </c>
    </row>
    <row r="5" spans="2:17" x14ac:dyDescent="0.3">
      <c r="F5" s="3" t="s">
        <v>12</v>
      </c>
      <c r="G5" s="3">
        <v>57.346135224803419</v>
      </c>
      <c r="H5" s="3">
        <v>63.541575644546448</v>
      </c>
      <c r="I5" s="3">
        <v>70.807356544252258</v>
      </c>
      <c r="J5" s="3">
        <v>79.398024165451432</v>
      </c>
      <c r="K5" s="3">
        <v>89.653484006000923</v>
      </c>
      <c r="L5" s="3">
        <v>102.03005072293041</v>
      </c>
      <c r="M5" s="3">
        <v>117.1521396307309</v>
      </c>
      <c r="N5" s="3">
        <v>135.89302800468184</v>
      </c>
      <c r="O5" s="3">
        <v>159.50493076650253</v>
      </c>
      <c r="P5" s="3">
        <v>189.83581218044736</v>
      </c>
      <c r="Q5" s="3">
        <v>229.70524359275763</v>
      </c>
    </row>
    <row r="6" spans="2:17" x14ac:dyDescent="0.3">
      <c r="B6" s="3" t="s">
        <v>2</v>
      </c>
      <c r="C6" s="3">
        <v>1.4</v>
      </c>
      <c r="F6" s="3" t="s">
        <v>6</v>
      </c>
      <c r="G6" s="3">
        <v>133051.51680905631</v>
      </c>
      <c r="H6" s="3">
        <v>132584.99723770068</v>
      </c>
      <c r="I6" s="3">
        <v>131975.3134773034</v>
      </c>
      <c r="J6" s="3">
        <v>131166.99884095028</v>
      </c>
      <c r="K6" s="3">
        <v>130077.40925202964</v>
      </c>
      <c r="L6" s="3">
        <v>128580.95321416699</v>
      </c>
      <c r="M6" s="3">
        <v>126481.56765998769</v>
      </c>
      <c r="N6" s="3">
        <v>123463.61370109109</v>
      </c>
      <c r="O6" s="3">
        <v>119000.61542623199</v>
      </c>
      <c r="P6" s="3">
        <v>112177.499767014</v>
      </c>
      <c r="Q6" s="3">
        <v>101325</v>
      </c>
    </row>
    <row r="7" spans="2:17" x14ac:dyDescent="0.3">
      <c r="B7" s="3" t="s">
        <v>3</v>
      </c>
      <c r="C7" s="3">
        <v>286.97199999999998</v>
      </c>
      <c r="F7" s="3" t="s">
        <v>13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</row>
    <row r="8" spans="2:17" x14ac:dyDescent="0.3">
      <c r="B8" s="3" t="s">
        <v>4</v>
      </c>
      <c r="C8" s="3">
        <v>1004.4</v>
      </c>
    </row>
    <row r="10" spans="2:17" x14ac:dyDescent="0.3">
      <c r="B10" s="3" t="s">
        <v>5</v>
      </c>
      <c r="C10" s="3">
        <v>135000</v>
      </c>
      <c r="F10" s="3" t="s">
        <v>14</v>
      </c>
      <c r="G10" s="4">
        <f>G4*G7*G13</f>
        <v>1.3663230263056279</v>
      </c>
      <c r="H10" s="4">
        <f>H4*H7*H13</f>
        <v>1.3663263013742526</v>
      </c>
      <c r="I10" s="4">
        <f t="shared" ref="I10:Q10" si="3">I4*I7*I13</f>
        <v>1.3665103029252428</v>
      </c>
      <c r="J10" s="4">
        <f t="shared" si="3"/>
        <v>1.3667753009619521</v>
      </c>
      <c r="K10" s="4">
        <f t="shared" si="3"/>
        <v>1.3670884586590171</v>
      </c>
      <c r="L10" s="4">
        <f t="shared" si="3"/>
        <v>1.3674135434723675</v>
      </c>
      <c r="M10" s="4">
        <f t="shared" si="3"/>
        <v>1.3677139174355106</v>
      </c>
      <c r="N10" s="4">
        <f t="shared" si="3"/>
        <v>1.3679573669568434</v>
      </c>
      <c r="O10" s="4">
        <f t="shared" si="3"/>
        <v>1.3681227123339412</v>
      </c>
      <c r="P10" s="4">
        <f t="shared" si="3"/>
        <v>1.3682070286545376</v>
      </c>
      <c r="Q10" s="4">
        <f t="shared" si="3"/>
        <v>1.3682301519337141</v>
      </c>
    </row>
    <row r="11" spans="2:17" x14ac:dyDescent="0.3">
      <c r="B11" s="3" t="s">
        <v>7</v>
      </c>
      <c r="C11" s="3">
        <v>288.16000000000003</v>
      </c>
      <c r="F11" s="3" t="s">
        <v>15</v>
      </c>
      <c r="G11" s="5">
        <v>0</v>
      </c>
      <c r="H11" s="5">
        <f>(H13)*(H10-I10)</f>
        <v>-1.1691776496012305E-2</v>
      </c>
      <c r="I11" s="5">
        <f t="shared" ref="I11:P11" si="4">(I13)*(I10-J10)</f>
        <v>-1.8763867214487626E-2</v>
      </c>
      <c r="J11" s="5">
        <f t="shared" si="4"/>
        <v>-2.4864181322673498E-2</v>
      </c>
      <c r="K11" s="5">
        <f t="shared" si="4"/>
        <v>-2.9145071652543916E-2</v>
      </c>
      <c r="L11" s="5">
        <f t="shared" si="4"/>
        <v>-3.0647244838617888E-2</v>
      </c>
      <c r="M11" s="5">
        <f t="shared" si="4"/>
        <v>-2.852068250951743E-2</v>
      </c>
      <c r="N11" s="5">
        <f t="shared" si="4"/>
        <v>-2.2469308612068407E-2</v>
      </c>
      <c r="O11" s="5">
        <f t="shared" si="4"/>
        <v>-1.3448876373514614E-2</v>
      </c>
      <c r="P11" s="5">
        <f t="shared" si="4"/>
        <v>-4.3896274573590206E-3</v>
      </c>
      <c r="Q11" s="1">
        <v>0</v>
      </c>
    </row>
    <row r="12" spans="2:17" x14ac:dyDescent="0.3">
      <c r="B12" s="3" t="s">
        <v>6</v>
      </c>
      <c r="C12" s="3">
        <v>101325</v>
      </c>
    </row>
    <row r="13" spans="2:17" x14ac:dyDescent="0.3">
      <c r="F13" s="3" t="s">
        <v>12</v>
      </c>
      <c r="G13" s="1">
        <f>(H4*H5*H7)/(G4*G7)</f>
        <v>57.34627201920317</v>
      </c>
      <c r="H13" s="6">
        <f t="shared" ref="H13:Q13" si="5">((G6-H6)/H7+G5*H5)^0.5</f>
        <v>63.541727953346616</v>
      </c>
      <c r="I13" s="6">
        <f t="shared" si="5"/>
        <v>70.807570680495544</v>
      </c>
      <c r="J13" s="6">
        <f t="shared" si="5"/>
        <v>79.398276190270423</v>
      </c>
      <c r="K13" s="6">
        <f t="shared" si="5"/>
        <v>89.653747131898925</v>
      </c>
      <c r="L13" s="6">
        <f t="shared" si="5"/>
        <v>102.03029755950854</v>
      </c>
      <c r="M13" s="6">
        <f t="shared" si="5"/>
        <v>117.15234580612358</v>
      </c>
      <c r="N13" s="6">
        <f t="shared" si="5"/>
        <v>135.89317709669413</v>
      </c>
      <c r="O13" s="6">
        <f t="shared" si="5"/>
        <v>159.50501964972906</v>
      </c>
      <c r="P13" s="6">
        <f t="shared" si="5"/>
        <v>189.83585432876907</v>
      </c>
      <c r="Q13" s="6">
        <f t="shared" si="5"/>
        <v>229.70526578863459</v>
      </c>
    </row>
    <row r="14" spans="2:17" x14ac:dyDescent="0.3">
      <c r="B14" s="3" t="s">
        <v>8</v>
      </c>
      <c r="C14" s="3">
        <v>2000</v>
      </c>
      <c r="F14" s="3" t="s">
        <v>6</v>
      </c>
      <c r="G14" s="9">
        <f>C10-(G7*G13^2)/2</f>
        <v>133051.50751315849</v>
      </c>
      <c r="H14" s="3">
        <f>H6+H11</f>
        <v>132584.9855459242</v>
      </c>
      <c r="I14" s="3">
        <f t="shared" ref="I14:Q14" si="6">I6+I11</f>
        <v>131975.29471343619</v>
      </c>
      <c r="J14" s="3">
        <f t="shared" si="6"/>
        <v>131166.97397676896</v>
      </c>
      <c r="K14" s="3">
        <f t="shared" si="6"/>
        <v>130077.38010695799</v>
      </c>
      <c r="L14" s="3">
        <f t="shared" si="6"/>
        <v>128580.92256692215</v>
      </c>
      <c r="M14" s="3">
        <f t="shared" si="6"/>
        <v>126481.53913930518</v>
      </c>
      <c r="N14" s="3">
        <f t="shared" si="6"/>
        <v>123463.59123178248</v>
      </c>
      <c r="O14" s="3">
        <f t="shared" si="6"/>
        <v>119000.60197735562</v>
      </c>
      <c r="P14" s="3">
        <f t="shared" si="6"/>
        <v>112177.49537738654</v>
      </c>
      <c r="Q14" s="1">
        <f t="shared" si="6"/>
        <v>101325</v>
      </c>
    </row>
    <row r="15" spans="2:17" x14ac:dyDescent="0.3">
      <c r="F15" s="3" t="s">
        <v>13</v>
      </c>
      <c r="G15" s="3">
        <v>1.1850000000000001</v>
      </c>
      <c r="H15" s="3">
        <v>1.1850000000000001</v>
      </c>
      <c r="I15" s="3">
        <v>1.1850000000000001</v>
      </c>
      <c r="J15" s="3">
        <v>1.1850000000000001</v>
      </c>
      <c r="K15" s="3">
        <v>1.1850000000000001</v>
      </c>
      <c r="L15" s="3">
        <v>1.1850000000000001</v>
      </c>
      <c r="M15" s="3">
        <v>1.1850000000000001</v>
      </c>
      <c r="N15" s="3">
        <v>1.1850000000000001</v>
      </c>
      <c r="O15" s="3">
        <v>1.1850000000000001</v>
      </c>
      <c r="P15" s="3">
        <v>1.1850000000000001</v>
      </c>
      <c r="Q15" s="3">
        <v>1.1850000000000001</v>
      </c>
    </row>
    <row r="17" spans="6:17" x14ac:dyDescent="0.3">
      <c r="F17" s="3" t="s">
        <v>16</v>
      </c>
      <c r="G17" s="6">
        <f>$C$11-(G13^2)/(2*$C$8)</f>
        <v>286.52290575741716</v>
      </c>
      <c r="H17" s="6">
        <f t="shared" ref="H17:Q17" si="7">$C$11-(H13^2)/(2*$C$8)</f>
        <v>286.15006810469083</v>
      </c>
      <c r="I17" s="6">
        <f t="shared" si="7"/>
        <v>285.66412581358355</v>
      </c>
      <c r="J17" s="6">
        <f t="shared" si="7"/>
        <v>285.02176510255555</v>
      </c>
      <c r="K17" s="6">
        <f t="shared" si="7"/>
        <v>284.15870849522577</v>
      </c>
      <c r="L17" s="6">
        <f t="shared" si="7"/>
        <v>282.97771126041329</v>
      </c>
      <c r="M17" s="6">
        <f t="shared" si="7"/>
        <v>281.32772594191681</v>
      </c>
      <c r="N17" s="6">
        <f t="shared" si="7"/>
        <v>278.96697153453135</v>
      </c>
      <c r="O17" s="6">
        <f t="shared" si="7"/>
        <v>275.49480122786719</v>
      </c>
      <c r="P17" s="6">
        <f t="shared" si="7"/>
        <v>270.22010972285267</v>
      </c>
      <c r="Q17" s="6">
        <f t="shared" si="7"/>
        <v>261.89331883162725</v>
      </c>
    </row>
    <row r="18" spans="6:17" x14ac:dyDescent="0.3">
      <c r="F18" s="3" t="s">
        <v>17</v>
      </c>
      <c r="G18" s="7">
        <f>SQRT($C$6*$C$7*G17)</f>
        <v>339.28405773838608</v>
      </c>
      <c r="H18" s="7">
        <f t="shared" ref="H18:Q18" si="8">SQRT($C$6*$C$7*H17)</f>
        <v>339.06323935483636</v>
      </c>
      <c r="I18" s="7">
        <f t="shared" si="8"/>
        <v>338.77521709559272</v>
      </c>
      <c r="J18" s="7">
        <f t="shared" si="8"/>
        <v>338.39410805304334</v>
      </c>
      <c r="K18" s="7">
        <f t="shared" si="8"/>
        <v>337.88138458933884</v>
      </c>
      <c r="L18" s="7">
        <f t="shared" si="8"/>
        <v>337.1785160091797</v>
      </c>
      <c r="M18" s="7">
        <f t="shared" si="8"/>
        <v>336.19406930611558</v>
      </c>
      <c r="N18" s="7">
        <f t="shared" si="8"/>
        <v>334.78051564762626</v>
      </c>
      <c r="O18" s="7">
        <f t="shared" si="8"/>
        <v>332.69056454481677</v>
      </c>
      <c r="P18" s="7">
        <f t="shared" si="8"/>
        <v>329.49028431554859</v>
      </c>
      <c r="Q18" s="7">
        <f t="shared" si="8"/>
        <v>324.37396518285743</v>
      </c>
    </row>
    <row r="19" spans="6:17" x14ac:dyDescent="0.3">
      <c r="F19" s="3" t="s">
        <v>18</v>
      </c>
      <c r="G19" s="5">
        <f>G13/G18</f>
        <v>0.16902141645400129</v>
      </c>
      <c r="H19" s="5">
        <f t="shared" ref="H19:Q19" si="9">H13/H18</f>
        <v>0.18740376595897779</v>
      </c>
      <c r="I19" s="5">
        <f t="shared" si="9"/>
        <v>0.20901047983245971</v>
      </c>
      <c r="J19" s="5">
        <f t="shared" si="9"/>
        <v>0.23463256097184981</v>
      </c>
      <c r="K19" s="5">
        <f t="shared" si="9"/>
        <v>0.26534088949843782</v>
      </c>
      <c r="L19" s="5">
        <f t="shared" si="9"/>
        <v>0.30260023315581219</v>
      </c>
      <c r="M19" s="5">
        <f t="shared" si="9"/>
        <v>0.3484664260970427</v>
      </c>
      <c r="N19" s="5">
        <f t="shared" si="9"/>
        <v>0.4059172226131843</v>
      </c>
      <c r="O19" s="5">
        <f t="shared" si="9"/>
        <v>0.47943956531488024</v>
      </c>
      <c r="P19" s="5">
        <f t="shared" si="9"/>
        <v>0.57615008200656292</v>
      </c>
      <c r="Q19" s="5">
        <f t="shared" si="9"/>
        <v>0.70814951396960657</v>
      </c>
    </row>
    <row r="23" spans="6:17" x14ac:dyDescent="0.3">
      <c r="L23" s="3"/>
      <c r="M23" s="3">
        <v>0</v>
      </c>
      <c r="N23" s="3">
        <v>2.5000000000000001E-2</v>
      </c>
      <c r="O23" s="3">
        <v>0.05</v>
      </c>
      <c r="P23" s="3">
        <v>7.4999999999999997E-2</v>
      </c>
      <c r="Q23" s="3">
        <v>0.1</v>
      </c>
    </row>
    <row r="24" spans="6:17" x14ac:dyDescent="0.3">
      <c r="L24" s="3" t="s">
        <v>19</v>
      </c>
      <c r="M24" s="3"/>
      <c r="N24" s="3"/>
      <c r="O24" s="3"/>
      <c r="P24" s="3"/>
      <c r="Q24" s="3"/>
    </row>
    <row r="25" spans="6:17" x14ac:dyDescent="0.3">
      <c r="L25" s="3" t="s">
        <v>20</v>
      </c>
      <c r="M25" s="3"/>
      <c r="N25" s="3"/>
      <c r="O25" s="3"/>
      <c r="P25" s="3"/>
      <c r="Q25" s="3"/>
    </row>
    <row r="26" spans="6:17" x14ac:dyDescent="0.3">
      <c r="L26" s="3" t="s">
        <v>21</v>
      </c>
      <c r="M26" s="3"/>
      <c r="N26" s="3"/>
      <c r="O26" s="3"/>
      <c r="P26" s="3"/>
      <c r="Q26" s="3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Q33"/>
  <sheetViews>
    <sheetView topLeftCell="A50" workbookViewId="0">
      <selection activeCell="Q11" sqref="Q11"/>
    </sheetView>
  </sheetViews>
  <sheetFormatPr defaultRowHeight="14.4" x14ac:dyDescent="0.3"/>
  <cols>
    <col min="7" max="7" width="12" bestFit="1" customWidth="1"/>
    <col min="8" max="10" width="12.109375" bestFit="1" customWidth="1"/>
    <col min="11" max="17" width="10.44140625" bestFit="1" customWidth="1"/>
  </cols>
  <sheetData>
    <row r="1" spans="2:17" x14ac:dyDescent="0.3">
      <c r="F1" s="3" t="s">
        <v>9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</row>
    <row r="2" spans="2:17" x14ac:dyDescent="0.3">
      <c r="F2" s="3" t="s">
        <v>10</v>
      </c>
      <c r="G2" s="4">
        <v>0</v>
      </c>
      <c r="H2" s="4">
        <f>G2+$C$4</f>
        <v>0.01</v>
      </c>
      <c r="I2" s="4">
        <f t="shared" ref="I2:Q2" si="0">H2+$C$4</f>
        <v>0.02</v>
      </c>
      <c r="J2" s="4">
        <f t="shared" si="0"/>
        <v>0.03</v>
      </c>
      <c r="K2" s="4">
        <f t="shared" si="0"/>
        <v>0.04</v>
      </c>
      <c r="L2" s="4">
        <f t="shared" si="0"/>
        <v>0.05</v>
      </c>
      <c r="M2" s="4">
        <f t="shared" si="0"/>
        <v>6.0000000000000005E-2</v>
      </c>
      <c r="N2" s="4">
        <f t="shared" si="0"/>
        <v>7.0000000000000007E-2</v>
      </c>
      <c r="O2" s="4">
        <f t="shared" si="0"/>
        <v>0.08</v>
      </c>
      <c r="P2" s="4">
        <f t="shared" si="0"/>
        <v>0.09</v>
      </c>
      <c r="Q2" s="4">
        <f t="shared" si="0"/>
        <v>9.9999999999999992E-2</v>
      </c>
    </row>
    <row r="3" spans="2:17" x14ac:dyDescent="0.3">
      <c r="B3" s="3" t="s">
        <v>0</v>
      </c>
      <c r="C3" s="3">
        <v>0.1</v>
      </c>
      <c r="F3" s="3" t="s">
        <v>3</v>
      </c>
      <c r="G3" s="1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1">
        <v>0.04</v>
      </c>
    </row>
    <row r="4" spans="2:17" x14ac:dyDescent="0.3">
      <c r="B4" s="3" t="s">
        <v>1</v>
      </c>
      <c r="C4" s="3">
        <f>C3/10</f>
        <v>0.01</v>
      </c>
      <c r="F4" s="3" t="s">
        <v>11</v>
      </c>
      <c r="G4" s="4">
        <f>(PI()*(2*G3)^2)/4</f>
        <v>2.0106192982974676E-2</v>
      </c>
      <c r="H4" s="4">
        <f t="shared" ref="H4:Q4" si="2">(PI()*(2*H3)^2)/4</f>
        <v>1.8145839167134643E-2</v>
      </c>
      <c r="I4" s="4">
        <f t="shared" si="2"/>
        <v>1.6286016316209486E-2</v>
      </c>
      <c r="J4" s="4">
        <f t="shared" si="2"/>
        <v>1.4526724430199199E-2</v>
      </c>
      <c r="K4" s="4">
        <f t="shared" si="2"/>
        <v>1.2867963509103787E-2</v>
      </c>
      <c r="L4" s="4">
        <f t="shared" si="2"/>
        <v>1.1309733552923249E-2</v>
      </c>
      <c r="M4" s="4">
        <f t="shared" si="2"/>
        <v>9.8520345616575841E-3</v>
      </c>
      <c r="N4" s="4">
        <f t="shared" si="2"/>
        <v>8.4948665353067939E-3</v>
      </c>
      <c r="O4" s="4">
        <f t="shared" si="2"/>
        <v>7.2382294738708754E-3</v>
      </c>
      <c r="P4" s="4">
        <f t="shared" si="2"/>
        <v>6.0821233773498311E-3</v>
      </c>
      <c r="Q4" s="4">
        <f t="shared" si="2"/>
        <v>5.0265482457436689E-3</v>
      </c>
    </row>
    <row r="5" spans="2:17" x14ac:dyDescent="0.3">
      <c r="F5" s="3" t="s">
        <v>12</v>
      </c>
      <c r="G5" s="3">
        <v>41.952458170366562</v>
      </c>
      <c r="H5" s="3">
        <v>46.572722315258261</v>
      </c>
      <c r="I5" s="3">
        <v>51.998998595347025</v>
      </c>
      <c r="J5" s="3">
        <v>58.481574269464545</v>
      </c>
      <c r="K5" s="3">
        <v>66.327200919066215</v>
      </c>
      <c r="L5" s="3">
        <v>75.973877099938278</v>
      </c>
      <c r="M5" s="3">
        <v>88.075946290190913</v>
      </c>
      <c r="N5" s="3">
        <v>103.67585204999334</v>
      </c>
      <c r="O5" s="3">
        <v>124.60693830892183</v>
      </c>
      <c r="P5" s="3">
        <v>154.70189233611086</v>
      </c>
      <c r="Q5" s="3">
        <v>205.86732315098098</v>
      </c>
    </row>
    <row r="6" spans="2:17" x14ac:dyDescent="0.3">
      <c r="B6" s="3" t="s">
        <v>2</v>
      </c>
      <c r="C6" s="3">
        <v>1.4</v>
      </c>
      <c r="F6" s="3" t="s">
        <v>6</v>
      </c>
      <c r="G6" s="3">
        <v>133574.20645422692</v>
      </c>
      <c r="H6" s="3">
        <v>133226.28716879166</v>
      </c>
      <c r="I6" s="3">
        <v>132771.1614403399</v>
      </c>
      <c r="J6" s="3">
        <v>132161.66801093385</v>
      </c>
      <c r="K6" s="3">
        <v>131328.88571868328</v>
      </c>
      <c r="L6" s="3">
        <v>130163.60851596277</v>
      </c>
      <c r="M6" s="3">
        <v>128484.90473201471</v>
      </c>
      <c r="N6" s="3">
        <v>125974.38540805619</v>
      </c>
      <c r="O6" s="3">
        <v>122019.7344116298</v>
      </c>
      <c r="P6" s="3">
        <v>115251.08218729163</v>
      </c>
      <c r="Q6" s="3">
        <v>101325</v>
      </c>
    </row>
    <row r="7" spans="2:17" x14ac:dyDescent="0.3">
      <c r="B7" s="3" t="s">
        <v>3</v>
      </c>
      <c r="C7" s="3">
        <v>286.97199999999998</v>
      </c>
      <c r="F7" s="3" t="s">
        <v>13</v>
      </c>
      <c r="G7" s="3">
        <v>1.6202120766536134</v>
      </c>
      <c r="H7" s="3">
        <v>1.617138055023114</v>
      </c>
      <c r="I7" s="3">
        <v>1.6131097716441272</v>
      </c>
      <c r="J7" s="3">
        <v>1.6077031930153689</v>
      </c>
      <c r="K7" s="3">
        <v>1.6002958497504662</v>
      </c>
      <c r="L7" s="3">
        <v>1.5898957190694107</v>
      </c>
      <c r="M7" s="3">
        <v>1.5748467970151123</v>
      </c>
      <c r="N7" s="3">
        <v>1.5522053888257903</v>
      </c>
      <c r="O7" s="3">
        <v>1.5162304142338905</v>
      </c>
      <c r="P7" s="3">
        <v>1.4538157117758432</v>
      </c>
      <c r="Q7" s="3">
        <v>1.3221013290732198</v>
      </c>
    </row>
    <row r="8" spans="2:17" x14ac:dyDescent="0.3">
      <c r="B8" s="3" t="s">
        <v>4</v>
      </c>
      <c r="C8" s="3">
        <v>1004.4</v>
      </c>
    </row>
    <row r="10" spans="2:17" x14ac:dyDescent="0.3">
      <c r="B10" s="3" t="s">
        <v>5</v>
      </c>
      <c r="C10" s="3">
        <v>135000</v>
      </c>
      <c r="F10" s="3" t="s">
        <v>14</v>
      </c>
      <c r="G10" s="4">
        <f t="shared" ref="G10:Q10" si="3">G4*G7*G13</f>
        <v>1.366645195577177</v>
      </c>
      <c r="H10" s="4">
        <f t="shared" si="3"/>
        <v>1.3666347344859844</v>
      </c>
      <c r="I10" s="4">
        <f t="shared" si="3"/>
        <v>1.3660677312876293</v>
      </c>
      <c r="J10" s="4">
        <f t="shared" si="3"/>
        <v>1.3658167470418781</v>
      </c>
      <c r="K10" s="4">
        <f t="shared" si="3"/>
        <v>1.3658483209918184</v>
      </c>
      <c r="L10" s="4">
        <f t="shared" si="3"/>
        <v>1.3661125638138347</v>
      </c>
      <c r="M10" s="4">
        <f t="shared" si="3"/>
        <v>1.3665415729811596</v>
      </c>
      <c r="N10" s="4">
        <f t="shared" si="3"/>
        <v>1.3670502324775375</v>
      </c>
      <c r="O10" s="4">
        <f t="shared" si="3"/>
        <v>1.3675415476349411</v>
      </c>
      <c r="P10" s="4">
        <f t="shared" si="3"/>
        <v>1.3679195404148627</v>
      </c>
      <c r="Q10" s="4">
        <f t="shared" si="3"/>
        <v>1.3681132042596771</v>
      </c>
    </row>
    <row r="11" spans="2:17" x14ac:dyDescent="0.3">
      <c r="B11" s="3" t="s">
        <v>7</v>
      </c>
      <c r="C11" s="3">
        <v>288.16000000000003</v>
      </c>
      <c r="F11" s="3" t="s">
        <v>15</v>
      </c>
      <c r="G11" s="5">
        <v>0</v>
      </c>
      <c r="H11" s="5">
        <f>(H13)*(H10-I10)</f>
        <v>2.6406680375334817E-2</v>
      </c>
      <c r="I11" s="5">
        <f t="shared" ref="I11:P11" si="4">(I13)*(I10-J10)</f>
        <v>1.3050883318935809E-2</v>
      </c>
      <c r="J11" s="5">
        <f t="shared" si="4"/>
        <v>-1.8464934745265399E-3</v>
      </c>
      <c r="K11" s="5">
        <f t="shared" si="4"/>
        <v>-1.7526515140232776E-2</v>
      </c>
      <c r="L11" s="5">
        <f t="shared" si="4"/>
        <v>-3.2593578471585345E-2</v>
      </c>
      <c r="M11" s="5">
        <f t="shared" si="4"/>
        <v>-4.4800799783623488E-2</v>
      </c>
      <c r="N11" s="5">
        <f t="shared" si="4"/>
        <v>-5.0937648111299527E-2</v>
      </c>
      <c r="O11" s="5">
        <f t="shared" si="4"/>
        <v>-4.7100604677384694E-2</v>
      </c>
      <c r="P11" s="5">
        <f t="shared" si="4"/>
        <v>-2.9960186970414304E-2</v>
      </c>
      <c r="Q11" s="1">
        <v>0</v>
      </c>
    </row>
    <row r="12" spans="2:17" x14ac:dyDescent="0.3">
      <c r="B12" s="3" t="s">
        <v>6</v>
      </c>
      <c r="C12" s="3">
        <v>101325</v>
      </c>
    </row>
    <row r="13" spans="2:17" x14ac:dyDescent="0.3">
      <c r="F13" s="3" t="s">
        <v>12</v>
      </c>
      <c r="G13" s="1">
        <f>(H4*H5*H7)/(G4*G7)</f>
        <v>41.952134974927866</v>
      </c>
      <c r="H13" s="6">
        <f t="shared" ref="H13:Q13" si="5">((G6-H6)/H7+G5*H5)^0.5</f>
        <v>46.572365820758591</v>
      </c>
      <c r="I13" s="6">
        <f t="shared" si="5"/>
        <v>51.99881482550407</v>
      </c>
      <c r="J13" s="6">
        <f t="shared" si="5"/>
        <v>58.481548175462336</v>
      </c>
      <c r="K13" s="6">
        <f t="shared" si="5"/>
        <v>66.327308369234387</v>
      </c>
      <c r="L13" s="6">
        <f t="shared" si="5"/>
        <v>75.974083898539305</v>
      </c>
      <c r="M13" s="6">
        <f t="shared" si="5"/>
        <v>88.076208352825077</v>
      </c>
      <c r="N13" s="6">
        <f t="shared" si="5"/>
        <v>103.67611774994239</v>
      </c>
      <c r="O13" s="6">
        <f t="shared" si="5"/>
        <v>124.60715436719285</v>
      </c>
      <c r="P13" s="6">
        <f t="shared" si="5"/>
        <v>154.70201471594376</v>
      </c>
      <c r="Q13" s="6">
        <f t="shared" si="5"/>
        <v>205.86733253631789</v>
      </c>
    </row>
    <row r="14" spans="2:17" x14ac:dyDescent="0.3">
      <c r="B14" s="3" t="s">
        <v>8</v>
      </c>
      <c r="C14" s="3">
        <v>2000</v>
      </c>
      <c r="F14" s="3" t="s">
        <v>6</v>
      </c>
      <c r="G14" s="9">
        <f>C10-(G7*G13^2)/2</f>
        <v>133574.22825503966</v>
      </c>
      <c r="H14" s="8">
        <f>H6+H11</f>
        <v>133226.31357547204</v>
      </c>
      <c r="I14" s="8">
        <f t="shared" ref="I14:Q14" si="6">I6+I11</f>
        <v>132771.17449122321</v>
      </c>
      <c r="J14" s="8">
        <f t="shared" si="6"/>
        <v>132161.66616444036</v>
      </c>
      <c r="K14" s="8">
        <f t="shared" si="6"/>
        <v>131328.86819216813</v>
      </c>
      <c r="L14" s="8">
        <f t="shared" si="6"/>
        <v>130163.57592238429</v>
      </c>
      <c r="M14" s="8">
        <f t="shared" si="6"/>
        <v>128484.85993121493</v>
      </c>
      <c r="N14" s="8">
        <f t="shared" si="6"/>
        <v>125974.33447040808</v>
      </c>
      <c r="O14" s="8">
        <f t="shared" si="6"/>
        <v>122019.68731102513</v>
      </c>
      <c r="P14" s="8">
        <f t="shared" si="6"/>
        <v>115251.05222710465</v>
      </c>
      <c r="Q14" s="8">
        <f t="shared" si="6"/>
        <v>101325</v>
      </c>
    </row>
    <row r="15" spans="2:17" x14ac:dyDescent="0.3">
      <c r="F15" s="3" t="s">
        <v>13</v>
      </c>
      <c r="G15" s="3">
        <f>G14/($C$7*G17)</f>
        <v>1.6202122649570925</v>
      </c>
      <c r="H15" s="3">
        <f t="shared" ref="H15:Q15" si="7">H14/($C$7*H17)</f>
        <v>1.6171382824397458</v>
      </c>
      <c r="I15" s="3">
        <f t="shared" si="7"/>
        <v>1.613109876697655</v>
      </c>
      <c r="J15" s="3">
        <f t="shared" si="7"/>
        <v>1.6077031620263356</v>
      </c>
      <c r="K15" s="3">
        <f t="shared" si="7"/>
        <v>1.6002956758902236</v>
      </c>
      <c r="L15" s="3">
        <f t="shared" si="7"/>
        <v>1.5898954081272527</v>
      </c>
      <c r="M15" s="3">
        <f t="shared" si="7"/>
        <v>1.5748463751867776</v>
      </c>
      <c r="N15" s="3">
        <f t="shared" si="7"/>
        <v>1.5522049117211103</v>
      </c>
      <c r="O15" s="3">
        <f t="shared" si="7"/>
        <v>1.5162299738827569</v>
      </c>
      <c r="P15" s="3">
        <f t="shared" si="7"/>
        <v>1.453815433048117</v>
      </c>
      <c r="Q15" s="3">
        <f t="shared" si="7"/>
        <v>1.3221013385964215</v>
      </c>
    </row>
    <row r="17" spans="6:17" x14ac:dyDescent="0.3">
      <c r="F17" s="3" t="s">
        <v>16</v>
      </c>
      <c r="G17" s="6">
        <f>$C$11-(G13^2)/(2*$C$8)</f>
        <v>287.28386418311703</v>
      </c>
      <c r="H17" s="6">
        <f t="shared" ref="H17:Q17" si="8">$C$11-(H13^2)/(2*$C$8)</f>
        <v>287.08025823469609</v>
      </c>
      <c r="I17" s="6">
        <f t="shared" si="8"/>
        <v>286.81398409833878</v>
      </c>
      <c r="J17" s="6">
        <f t="shared" si="8"/>
        <v>286.45744550129484</v>
      </c>
      <c r="K17" s="6">
        <f t="shared" si="8"/>
        <v>285.96998016950045</v>
      </c>
      <c r="L17" s="6">
        <f t="shared" si="8"/>
        <v>285.28661219423424</v>
      </c>
      <c r="M17" s="6">
        <f t="shared" si="8"/>
        <v>284.29828231889178</v>
      </c>
      <c r="N17" s="6">
        <f t="shared" si="8"/>
        <v>282.80917493443854</v>
      </c>
      <c r="O17" s="6">
        <f t="shared" si="8"/>
        <v>280.43053817229719</v>
      </c>
      <c r="P17" s="6">
        <f t="shared" si="8"/>
        <v>276.24606463701116</v>
      </c>
      <c r="Q17" s="6">
        <f t="shared" si="8"/>
        <v>267.06215123177077</v>
      </c>
    </row>
    <row r="18" spans="6:17" x14ac:dyDescent="0.3">
      <c r="F18" s="3" t="s">
        <v>17</v>
      </c>
      <c r="G18" s="7">
        <f>SQRT($C$6*$C$7*G17)</f>
        <v>339.7343007429489</v>
      </c>
      <c r="H18" s="7">
        <f t="shared" ref="H18:Q18" si="9">SQRT($C$6*$C$7*H17)</f>
        <v>339.61388989936506</v>
      </c>
      <c r="I18" s="7">
        <f t="shared" si="9"/>
        <v>339.45635316272381</v>
      </c>
      <c r="J18" s="7">
        <f t="shared" si="9"/>
        <v>339.24529837649425</v>
      </c>
      <c r="K18" s="7">
        <f t="shared" si="9"/>
        <v>338.95652819924067</v>
      </c>
      <c r="L18" s="7">
        <f t="shared" si="9"/>
        <v>338.55129233905649</v>
      </c>
      <c r="M18" s="7">
        <f t="shared" si="9"/>
        <v>337.96435513684548</v>
      </c>
      <c r="N18" s="7">
        <f t="shared" si="9"/>
        <v>337.07809238958259</v>
      </c>
      <c r="O18" s="7">
        <f t="shared" si="9"/>
        <v>335.65755966540161</v>
      </c>
      <c r="P18" s="7">
        <f t="shared" si="9"/>
        <v>333.14387271180198</v>
      </c>
      <c r="Q18" s="7">
        <f t="shared" si="9"/>
        <v>327.55931299323061</v>
      </c>
    </row>
    <row r="19" spans="6:17" x14ac:dyDescent="0.3">
      <c r="F19" s="3" t="s">
        <v>18</v>
      </c>
      <c r="G19" s="5">
        <f>G13/G18</f>
        <v>0.12348513200811552</v>
      </c>
      <c r="H19" s="5">
        <f t="shared" ref="H19:Q19" si="10">H13/H18</f>
        <v>0.13713327754220828</v>
      </c>
      <c r="I19" s="5">
        <f t="shared" si="10"/>
        <v>0.15318262374832503</v>
      </c>
      <c r="J19" s="5">
        <f t="shared" si="10"/>
        <v>0.17238720316931128</v>
      </c>
      <c r="K19" s="5">
        <f t="shared" si="10"/>
        <v>0.19568087011513996</v>
      </c>
      <c r="L19" s="5">
        <f t="shared" si="10"/>
        <v>0.22440937493882568</v>
      </c>
      <c r="M19" s="5">
        <f t="shared" si="10"/>
        <v>0.260607981327386</v>
      </c>
      <c r="N19" s="5">
        <f t="shared" si="10"/>
        <v>0.3075729929968789</v>
      </c>
      <c r="O19" s="5">
        <f t="shared" si="10"/>
        <v>0.37123297473593864</v>
      </c>
      <c r="P19" s="5">
        <f t="shared" si="10"/>
        <v>0.46436998362498555</v>
      </c>
      <c r="Q19" s="5">
        <f t="shared" si="10"/>
        <v>0.62848871752448809</v>
      </c>
    </row>
    <row r="20" spans="6:17" x14ac:dyDescent="0.3">
      <c r="F20" s="3" t="s">
        <v>22</v>
      </c>
      <c r="G20" s="3">
        <f>1-((($C$6-1)/($C$6+1))*G21^2)</f>
        <v>0.99704053956027028</v>
      </c>
      <c r="H20" s="3">
        <f t="shared" ref="H20:Q20" si="11">1-((($C$6-1)/($C$6+1))*H21^2)</f>
        <v>0.99637522452798677</v>
      </c>
      <c r="I20" s="3">
        <f t="shared" si="11"/>
        <v>0.99551738512144528</v>
      </c>
      <c r="J20" s="3">
        <f t="shared" si="11"/>
        <v>0.99438996137486713</v>
      </c>
      <c r="K20" s="3">
        <f t="shared" si="11"/>
        <v>0.99288656085264948</v>
      </c>
      <c r="L20" s="3">
        <f t="shared" si="11"/>
        <v>0.99084969708373349</v>
      </c>
      <c r="M20" s="3">
        <f t="shared" si="11"/>
        <v>0.98804110858762784</v>
      </c>
      <c r="N20" s="3">
        <f t="shared" si="11"/>
        <v>0.98408998256156943</v>
      </c>
      <c r="O20" s="3">
        <f t="shared" si="11"/>
        <v>0.97839276991627533</v>
      </c>
      <c r="P20" s="3">
        <f t="shared" si="11"/>
        <v>0.96986758176308718</v>
      </c>
      <c r="Q20" s="3">
        <f t="shared" si="11"/>
        <v>0.95586604237998785</v>
      </c>
    </row>
    <row r="21" spans="6:17" x14ac:dyDescent="0.3">
      <c r="F21" s="3" t="s">
        <v>24</v>
      </c>
      <c r="G21" s="3">
        <f>SQRT(((($C$6+1)/2)*G19^2)/(1+2*G19^2))</f>
        <v>0.13325450325740634</v>
      </c>
      <c r="H21" s="3">
        <f>SQRT(((($C$6+1)/2)*H19^2)/(1+2*H19^2))</f>
        <v>0.14747424463979894</v>
      </c>
      <c r="I21" s="3">
        <f t="shared" ref="I21:Q21" si="12">SQRT(((($C$6+1)/2)*I19^2)/(1+2*I19^2))</f>
        <v>0.1639990526537525</v>
      </c>
      <c r="J21" s="3">
        <f t="shared" si="12"/>
        <v>0.18346724980442006</v>
      </c>
      <c r="K21" s="3">
        <f t="shared" si="12"/>
        <v>0.20659292070180635</v>
      </c>
      <c r="L21" s="3">
        <f t="shared" si="12"/>
        <v>0.23431136869046568</v>
      </c>
      <c r="M21" s="3">
        <f t="shared" si="12"/>
        <v>0.2678681550207731</v>
      </c>
      <c r="N21" s="3">
        <f t="shared" si="12"/>
        <v>0.30896618687258187</v>
      </c>
      <c r="O21" s="3">
        <f t="shared" si="12"/>
        <v>0.36006024565667927</v>
      </c>
      <c r="P21" s="3">
        <f t="shared" si="12"/>
        <v>0.42519937608312292</v>
      </c>
      <c r="Q21" s="3">
        <f t="shared" si="12"/>
        <v>0.51459085273649507</v>
      </c>
    </row>
    <row r="22" spans="6:17" x14ac:dyDescent="0.3">
      <c r="F22" s="3" t="s">
        <v>23</v>
      </c>
      <c r="G22" s="3">
        <f>(1-((($C$6-1)/($C$6+1))*G21^2))^($C$6/($C$6-1))</f>
        <v>0.98968014980824814</v>
      </c>
      <c r="H22" s="3">
        <f t="shared" ref="H22:Q22" si="13">(1-((($C$6-1)/($C$6+1))*H21^2))^($C$6/($C$6-1))</f>
        <v>0.98737066482633495</v>
      </c>
      <c r="I22" s="3">
        <f t="shared" si="13"/>
        <v>0.98439856153413363</v>
      </c>
      <c r="J22" s="3">
        <f t="shared" si="13"/>
        <v>0.98050217118689553</v>
      </c>
      <c r="K22" s="3">
        <f t="shared" si="13"/>
        <v>0.97532355574748653</v>
      </c>
      <c r="L22" s="3">
        <f t="shared" si="13"/>
        <v>0.96833857597726203</v>
      </c>
      <c r="M22" s="3">
        <f t="shared" si="13"/>
        <v>0.95876583536247673</v>
      </c>
      <c r="N22" s="3">
        <f t="shared" si="13"/>
        <v>0.94541358470102099</v>
      </c>
      <c r="O22" s="3">
        <f t="shared" si="13"/>
        <v>0.92639525404761391</v>
      </c>
      <c r="P22" s="3">
        <f t="shared" si="13"/>
        <v>0.89844925072464876</v>
      </c>
      <c r="Q22" s="3">
        <f t="shared" si="13"/>
        <v>0.85386579544090735</v>
      </c>
    </row>
    <row r="23" spans="6:17" x14ac:dyDescent="0.3">
      <c r="F23" s="3" t="s">
        <v>5</v>
      </c>
      <c r="G23" s="3">
        <f>G14/G22</f>
        <v>134967.06817947177</v>
      </c>
      <c r="H23" s="3">
        <f t="shared" ref="H23:Q23" si="14">H14/H22</f>
        <v>134930.39475596001</v>
      </c>
      <c r="I23" s="3">
        <f t="shared" si="14"/>
        <v>134875.42513705656</v>
      </c>
      <c r="J23" s="3">
        <f t="shared" si="14"/>
        <v>134789.77410571053</v>
      </c>
      <c r="K23" s="3">
        <f t="shared" si="14"/>
        <v>134651.5906626677</v>
      </c>
      <c r="L23" s="3">
        <f t="shared" si="14"/>
        <v>134419.48833962463</v>
      </c>
      <c r="M23" s="3">
        <f t="shared" si="14"/>
        <v>134010.67830357052</v>
      </c>
      <c r="N23" s="3">
        <f t="shared" si="14"/>
        <v>133247.85734938047</v>
      </c>
      <c r="O23" s="3">
        <f t="shared" si="14"/>
        <v>131714.4995917193</v>
      </c>
      <c r="P23" s="3">
        <f t="shared" si="14"/>
        <v>128277.7542906829</v>
      </c>
      <c r="Q23" s="3">
        <f t="shared" si="14"/>
        <v>118666.18916111893</v>
      </c>
    </row>
    <row r="30" spans="6:17" x14ac:dyDescent="0.3">
      <c r="L30" s="3"/>
      <c r="M30" s="3">
        <v>0</v>
      </c>
      <c r="N30" s="3">
        <v>2.5000000000000001E-2</v>
      </c>
      <c r="O30" s="3">
        <v>0.05</v>
      </c>
      <c r="P30" s="3">
        <v>7.4999999999999997E-2</v>
      </c>
      <c r="Q30" s="3">
        <v>0.1</v>
      </c>
    </row>
    <row r="31" spans="6:17" x14ac:dyDescent="0.3">
      <c r="L31" s="3" t="s">
        <v>19</v>
      </c>
      <c r="M31" s="3"/>
      <c r="N31" s="3"/>
      <c r="O31" s="3"/>
      <c r="P31" s="3"/>
      <c r="Q31" s="3"/>
    </row>
    <row r="32" spans="6:17" x14ac:dyDescent="0.3">
      <c r="L32" s="3" t="s">
        <v>20</v>
      </c>
      <c r="M32" s="3"/>
      <c r="N32" s="3"/>
      <c r="O32" s="3"/>
      <c r="P32" s="3"/>
      <c r="Q32" s="3"/>
    </row>
    <row r="33" spans="10:17" x14ac:dyDescent="0.3">
      <c r="J33" s="2"/>
      <c r="L33" s="3" t="s">
        <v>21</v>
      </c>
      <c r="M33" s="3"/>
      <c r="N33" s="3"/>
      <c r="O33" s="3"/>
      <c r="P33" s="3"/>
      <c r="Q33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1:Q26"/>
  <sheetViews>
    <sheetView topLeftCell="A15" workbookViewId="0">
      <selection activeCell="Q14" sqref="Q14"/>
    </sheetView>
  </sheetViews>
  <sheetFormatPr defaultRowHeight="14.4" x14ac:dyDescent="0.3"/>
  <sheetData>
    <row r="1" spans="2:17" x14ac:dyDescent="0.3">
      <c r="F1" s="3" t="s">
        <v>9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</row>
    <row r="2" spans="2:17" x14ac:dyDescent="0.3">
      <c r="F2" s="3" t="s">
        <v>10</v>
      </c>
      <c r="G2" s="4">
        <v>0</v>
      </c>
      <c r="H2" s="4">
        <f>G2+$C$4</f>
        <v>0.01</v>
      </c>
      <c r="I2" s="4">
        <f t="shared" ref="I2:Q2" si="0">H2+$C$4</f>
        <v>0.02</v>
      </c>
      <c r="J2" s="4">
        <f t="shared" si="0"/>
        <v>0.03</v>
      </c>
      <c r="K2" s="4">
        <f t="shared" si="0"/>
        <v>0.04</v>
      </c>
      <c r="L2" s="4">
        <f t="shared" si="0"/>
        <v>0.05</v>
      </c>
      <c r="M2" s="4">
        <f t="shared" si="0"/>
        <v>6.0000000000000005E-2</v>
      </c>
      <c r="N2" s="4">
        <f t="shared" si="0"/>
        <v>7.0000000000000007E-2</v>
      </c>
      <c r="O2" s="4">
        <f t="shared" si="0"/>
        <v>0.08</v>
      </c>
      <c r="P2" s="4">
        <f t="shared" si="0"/>
        <v>0.09</v>
      </c>
      <c r="Q2" s="4">
        <f t="shared" si="0"/>
        <v>9.9999999999999992E-2</v>
      </c>
    </row>
    <row r="3" spans="2:17" x14ac:dyDescent="0.3">
      <c r="B3" s="3" t="s">
        <v>0</v>
      </c>
      <c r="C3" s="3">
        <v>0.1</v>
      </c>
      <c r="F3" s="3" t="s">
        <v>3</v>
      </c>
      <c r="G3" s="1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1">
        <v>0.04</v>
      </c>
    </row>
    <row r="4" spans="2:17" x14ac:dyDescent="0.3">
      <c r="B4" s="3" t="s">
        <v>1</v>
      </c>
      <c r="C4" s="3">
        <f>C3/10</f>
        <v>0.01</v>
      </c>
      <c r="F4" s="3" t="s">
        <v>11</v>
      </c>
      <c r="G4" s="4">
        <f>(PI()*(2*G3)^2)/4</f>
        <v>2.0106192982974676E-2</v>
      </c>
      <c r="H4" s="4">
        <f t="shared" ref="H4:Q4" si="2">(PI()*(2*H3)^2)/4</f>
        <v>1.8145839167134643E-2</v>
      </c>
      <c r="I4" s="4">
        <f t="shared" si="2"/>
        <v>1.6286016316209486E-2</v>
      </c>
      <c r="J4" s="4">
        <f t="shared" si="2"/>
        <v>1.4526724430199199E-2</v>
      </c>
      <c r="K4" s="4">
        <f t="shared" si="2"/>
        <v>1.2867963509103787E-2</v>
      </c>
      <c r="L4" s="4">
        <f t="shared" si="2"/>
        <v>1.1309733552923249E-2</v>
      </c>
      <c r="M4" s="4">
        <f t="shared" si="2"/>
        <v>9.8520345616575841E-3</v>
      </c>
      <c r="N4" s="4">
        <f t="shared" si="2"/>
        <v>8.4948665353067939E-3</v>
      </c>
      <c r="O4" s="4">
        <f t="shared" si="2"/>
        <v>7.2382294738708754E-3</v>
      </c>
      <c r="P4" s="4">
        <f t="shared" si="2"/>
        <v>6.0821233773498311E-3</v>
      </c>
      <c r="Q4" s="4">
        <f t="shared" si="2"/>
        <v>5.0265482457436689E-3</v>
      </c>
    </row>
    <row r="5" spans="2:17" x14ac:dyDescent="0.3">
      <c r="F5" s="3" t="s">
        <v>12</v>
      </c>
      <c r="G5" s="3">
        <v>18.944273569261043</v>
      </c>
      <c r="H5" s="3">
        <v>20.990934799549731</v>
      </c>
      <c r="I5" s="3">
        <v>23.39117590643561</v>
      </c>
      <c r="J5" s="3">
        <v>26.229099930013785</v>
      </c>
      <c r="K5" s="3">
        <v>29.616995339142132</v>
      </c>
      <c r="L5" s="3">
        <v>33.705605822659749</v>
      </c>
      <c r="M5" s="3">
        <v>38.701206277730499</v>
      </c>
      <c r="N5" s="3">
        <v>44.892282061714432</v>
      </c>
      <c r="O5" s="3">
        <v>52.692499523828559</v>
      </c>
      <c r="P5" s="3">
        <v>62.712330446678678</v>
      </c>
      <c r="Q5" s="3">
        <v>75.883218512377013</v>
      </c>
    </row>
    <row r="6" spans="2:17" x14ac:dyDescent="0.3">
      <c r="B6" s="3" t="s">
        <v>2</v>
      </c>
      <c r="C6" s="3">
        <v>1.4</v>
      </c>
      <c r="F6" s="3" t="s">
        <v>6</v>
      </c>
      <c r="G6" s="3">
        <v>104787.3603406178</v>
      </c>
      <c r="H6" s="3">
        <v>104736.44866412334</v>
      </c>
      <c r="I6" s="3">
        <v>104669.9135550607</v>
      </c>
      <c r="J6" s="3">
        <v>104581.70148547537</v>
      </c>
      <c r="K6" s="3">
        <v>104462.79332359144</v>
      </c>
      <c r="L6" s="3">
        <v>104299.48301972487</v>
      </c>
      <c r="M6" s="3">
        <v>104070.37387641847</v>
      </c>
      <c r="N6" s="3">
        <v>103741.01976956011</v>
      </c>
      <c r="O6" s="3">
        <v>103253.96574011008</v>
      </c>
      <c r="P6" s="3">
        <v>102509.34883194003</v>
      </c>
      <c r="Q6" s="3">
        <v>101325</v>
      </c>
    </row>
    <row r="7" spans="2:17" x14ac:dyDescent="0.3">
      <c r="B7" s="3" t="s">
        <v>3</v>
      </c>
      <c r="C7" s="3">
        <v>286.97199999999998</v>
      </c>
      <c r="F7" s="3" t="s">
        <v>13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</row>
    <row r="8" spans="2:17" x14ac:dyDescent="0.3">
      <c r="B8" s="3" t="s">
        <v>4</v>
      </c>
      <c r="C8" s="3">
        <v>1004.4</v>
      </c>
    </row>
    <row r="10" spans="2:17" x14ac:dyDescent="0.3">
      <c r="B10" s="3" t="s">
        <v>5</v>
      </c>
      <c r="C10" s="3">
        <v>105000</v>
      </c>
      <c r="F10" s="3" t="s">
        <v>14</v>
      </c>
      <c r="G10" s="4">
        <f>G4*G7*G13</f>
        <v>0.45136428030592041</v>
      </c>
      <c r="H10" s="4">
        <f>H4*H7*H13</f>
        <v>0.45136535982202247</v>
      </c>
      <c r="I10" s="4">
        <f t="shared" ref="I10:Q10" si="3">I4*I7*I13</f>
        <v>0.45142601608989436</v>
      </c>
      <c r="J10" s="4">
        <f t="shared" si="3"/>
        <v>0.45151357923153818</v>
      </c>
      <c r="K10" s="4">
        <f t="shared" si="3"/>
        <v>0.45161716988058254</v>
      </c>
      <c r="L10" s="4">
        <f t="shared" si="3"/>
        <v>0.45172477926016347</v>
      </c>
      <c r="M10" s="4">
        <f t="shared" si="3"/>
        <v>0.45182425908052332</v>
      </c>
      <c r="N10" s="4">
        <f t="shared" si="3"/>
        <v>0.45190492154445927</v>
      </c>
      <c r="O10" s="4">
        <f t="shared" si="3"/>
        <v>0.45195973029030462</v>
      </c>
      <c r="P10" s="4">
        <f t="shared" si="3"/>
        <v>0.45198769592315818</v>
      </c>
      <c r="Q10" s="4">
        <f t="shared" si="3"/>
        <v>0.45199537451195493</v>
      </c>
    </row>
    <row r="11" spans="2:17" x14ac:dyDescent="0.3">
      <c r="B11" s="3" t="s">
        <v>7</v>
      </c>
      <c r="C11" s="3">
        <v>288.16000000000003</v>
      </c>
      <c r="F11" s="3" t="s">
        <v>15</v>
      </c>
      <c r="G11" s="5">
        <v>0</v>
      </c>
      <c r="H11" s="5">
        <f>(H13)*(H10-I10)</f>
        <v>-1.2732348092377233E-3</v>
      </c>
      <c r="I11" s="5">
        <f t="shared" ref="I11:P11" si="4">(I13)*(I10-J10)</f>
        <v>-2.0482110433709508E-3</v>
      </c>
      <c r="J11" s="5">
        <f t="shared" si="4"/>
        <v>-2.7170981195736277E-3</v>
      </c>
      <c r="K11" s="5">
        <f t="shared" si="4"/>
        <v>-3.187075863691042E-3</v>
      </c>
      <c r="L11" s="5">
        <f t="shared" si="4"/>
        <v>-3.3530357422154357E-3</v>
      </c>
      <c r="M11" s="5">
        <f t="shared" si="4"/>
        <v>-3.1217401637776807E-3</v>
      </c>
      <c r="N11" s="5">
        <f t="shared" si="4"/>
        <v>-2.4604923851451474E-3</v>
      </c>
      <c r="O11" s="5">
        <f t="shared" si="4"/>
        <v>-1.4735799194372538E-3</v>
      </c>
      <c r="P11" s="5">
        <f t="shared" si="4"/>
        <v>-4.8154230518456062E-4</v>
      </c>
      <c r="Q11" s="1">
        <v>0</v>
      </c>
    </row>
    <row r="12" spans="2:17" x14ac:dyDescent="0.3">
      <c r="B12" s="3" t="s">
        <v>6</v>
      </c>
      <c r="C12" s="3">
        <v>101325</v>
      </c>
    </row>
    <row r="13" spans="2:17" x14ac:dyDescent="0.3">
      <c r="F13" s="3" t="s">
        <v>12</v>
      </c>
      <c r="G13" s="1">
        <f>(H4*H5*H7)/(G4*G7)</f>
        <v>18.944318656593634</v>
      </c>
      <c r="H13" s="6">
        <f t="shared" ref="H13:Q13" si="5">((G6-H6)/H7+G5*H5)^0.5</f>
        <v>20.990985003017538</v>
      </c>
      <c r="I13" s="6">
        <f t="shared" si="5"/>
        <v>23.391246646933169</v>
      </c>
      <c r="J13" s="6">
        <f t="shared" si="5"/>
        <v>26.229183277055121</v>
      </c>
      <c r="K13" s="6">
        <f t="shared" si="5"/>
        <v>29.617082415144949</v>
      </c>
      <c r="L13" s="6">
        <f t="shared" si="5"/>
        <v>33.705687546343334</v>
      </c>
      <c r="M13" s="6">
        <f t="shared" si="5"/>
        <v>38.70127456379624</v>
      </c>
      <c r="N13" s="6">
        <f t="shared" si="5"/>
        <v>44.892331455419011</v>
      </c>
      <c r="O13" s="6">
        <f t="shared" si="5"/>
        <v>52.692528974875373</v>
      </c>
      <c r="P13" s="6">
        <f t="shared" si="5"/>
        <v>62.712344407440831</v>
      </c>
      <c r="Q13" s="6">
        <f t="shared" si="5"/>
        <v>75.883225852584502</v>
      </c>
    </row>
    <row r="14" spans="2:17" x14ac:dyDescent="0.3">
      <c r="B14" s="3" t="s">
        <v>8</v>
      </c>
      <c r="C14" s="3">
        <v>2000</v>
      </c>
      <c r="F14" s="3" t="s">
        <v>6</v>
      </c>
      <c r="G14" s="9">
        <f>C10-(G7*G13^2)/2</f>
        <v>104787.35932845269</v>
      </c>
      <c r="H14" s="3">
        <f>H6+H11</f>
        <v>104736.44739088853</v>
      </c>
      <c r="I14" s="3">
        <f t="shared" ref="I14:Q14" si="6">I6+I11</f>
        <v>104669.91150684966</v>
      </c>
      <c r="J14" s="3">
        <f t="shared" si="6"/>
        <v>104581.69876837725</v>
      </c>
      <c r="K14" s="3">
        <f t="shared" si="6"/>
        <v>104462.79013651557</v>
      </c>
      <c r="L14" s="3">
        <f t="shared" si="6"/>
        <v>104299.47966668912</v>
      </c>
      <c r="M14" s="3">
        <f t="shared" si="6"/>
        <v>104070.3707546783</v>
      </c>
      <c r="N14" s="3">
        <f t="shared" si="6"/>
        <v>103741.01730906773</v>
      </c>
      <c r="O14" s="3">
        <f t="shared" si="6"/>
        <v>103253.96426653017</v>
      </c>
      <c r="P14" s="3">
        <f t="shared" si="6"/>
        <v>102509.34835039773</v>
      </c>
      <c r="Q14" s="1">
        <f t="shared" si="6"/>
        <v>101325</v>
      </c>
    </row>
    <row r="15" spans="2:17" x14ac:dyDescent="0.3">
      <c r="F15" s="3" t="s">
        <v>13</v>
      </c>
      <c r="G15" s="3">
        <v>1.1850000000000001</v>
      </c>
      <c r="H15" s="3">
        <v>1.1850000000000001</v>
      </c>
      <c r="I15" s="3">
        <v>1.1850000000000001</v>
      </c>
      <c r="J15" s="3">
        <v>1.1850000000000001</v>
      </c>
      <c r="K15" s="3">
        <v>1.1850000000000001</v>
      </c>
      <c r="L15" s="3">
        <v>1.1850000000000001</v>
      </c>
      <c r="M15" s="3">
        <v>1.1850000000000001</v>
      </c>
      <c r="N15" s="3">
        <v>1.1850000000000001</v>
      </c>
      <c r="O15" s="3">
        <v>1.1850000000000001</v>
      </c>
      <c r="P15" s="3">
        <v>1.1850000000000001</v>
      </c>
      <c r="Q15" s="3">
        <v>1.1850000000000001</v>
      </c>
    </row>
    <row r="17" spans="6:17" x14ac:dyDescent="0.3">
      <c r="F17" s="3" t="s">
        <v>16</v>
      </c>
      <c r="G17" s="6">
        <f>$C$11-(G13^2)/(2*$C$8)</f>
        <v>287.98134248836993</v>
      </c>
      <c r="H17" s="6">
        <f t="shared" ref="H17:Q17" si="7">$C$11-(H13^2)/(2*$C$8)</f>
        <v>287.94065439496376</v>
      </c>
      <c r="I17" s="6">
        <f t="shared" si="7"/>
        <v>287.88762324786063</v>
      </c>
      <c r="J17" s="6">
        <f t="shared" si="7"/>
        <v>287.81752187605468</v>
      </c>
      <c r="K17" s="6">
        <f t="shared" si="7"/>
        <v>287.72333553823904</v>
      </c>
      <c r="L17" s="6">
        <f t="shared" si="7"/>
        <v>287.59445172592012</v>
      </c>
      <c r="M17" s="6">
        <f t="shared" si="7"/>
        <v>287.41438637352536</v>
      </c>
      <c r="N17" s="6">
        <f t="shared" si="7"/>
        <v>287.15675357252928</v>
      </c>
      <c r="O17" s="6">
        <f t="shared" si="7"/>
        <v>286.77783024205098</v>
      </c>
      <c r="P17" s="6">
        <f t="shared" si="7"/>
        <v>286.20219527027211</v>
      </c>
      <c r="Q17" s="6">
        <f t="shared" si="7"/>
        <v>285.29348070201399</v>
      </c>
    </row>
    <row r="18" spans="6:17" x14ac:dyDescent="0.3">
      <c r="F18" s="3" t="s">
        <v>17</v>
      </c>
      <c r="G18" s="7">
        <f>SQRT($C$6*$C$7*G17)</f>
        <v>340.14646043021156</v>
      </c>
      <c r="H18" s="7">
        <f t="shared" ref="H18:Q18" si="8">SQRT($C$6*$C$7*H17)</f>
        <v>340.12243040153078</v>
      </c>
      <c r="I18" s="7">
        <f t="shared" si="8"/>
        <v>340.091108125689</v>
      </c>
      <c r="J18" s="7">
        <f t="shared" si="8"/>
        <v>340.04969907785716</v>
      </c>
      <c r="K18" s="7">
        <f t="shared" si="8"/>
        <v>339.9940550428953</v>
      </c>
      <c r="L18" s="7">
        <f t="shared" si="8"/>
        <v>339.91789744137782</v>
      </c>
      <c r="M18" s="7">
        <f t="shared" si="8"/>
        <v>339.8114680244571</v>
      </c>
      <c r="N18" s="7">
        <f t="shared" si="8"/>
        <v>339.65913360412111</v>
      </c>
      <c r="O18" s="7">
        <f t="shared" si="8"/>
        <v>339.43495768749364</v>
      </c>
      <c r="P18" s="7">
        <f t="shared" si="8"/>
        <v>339.0941210542299</v>
      </c>
      <c r="Q18" s="7">
        <f t="shared" si="8"/>
        <v>338.55536776371702</v>
      </c>
    </row>
    <row r="19" spans="6:17" x14ac:dyDescent="0.3">
      <c r="F19" s="3" t="s">
        <v>18</v>
      </c>
      <c r="G19" s="5">
        <f>G13/G18</f>
        <v>5.5694592948676215E-2</v>
      </c>
      <c r="H19" s="5">
        <f t="shared" ref="H19:Q19" si="9">H13/H18</f>
        <v>6.1715967918483584E-2</v>
      </c>
      <c r="I19" s="5">
        <f t="shared" si="9"/>
        <v>6.8779353790950515E-2</v>
      </c>
      <c r="J19" s="5">
        <f t="shared" si="9"/>
        <v>7.713338182090182E-2</v>
      </c>
      <c r="K19" s="5">
        <f t="shared" si="9"/>
        <v>8.7110589070177463E-2</v>
      </c>
      <c r="L19" s="5">
        <f t="shared" si="9"/>
        <v>9.9158319700292361E-2</v>
      </c>
      <c r="M19" s="5">
        <f t="shared" si="9"/>
        <v>0.11389043103457241</v>
      </c>
      <c r="N19" s="5">
        <f t="shared" si="9"/>
        <v>0.13216877455661721</v>
      </c>
      <c r="O19" s="5">
        <f t="shared" si="9"/>
        <v>0.15523601144048227</v>
      </c>
      <c r="P19" s="5">
        <f t="shared" si="9"/>
        <v>0.18494081882773636</v>
      </c>
      <c r="Q19" s="5">
        <f t="shared" si="9"/>
        <v>0.22413830373986146</v>
      </c>
    </row>
    <row r="23" spans="6:17" x14ac:dyDescent="0.3">
      <c r="L23" s="3"/>
      <c r="M23" s="3">
        <v>0</v>
      </c>
      <c r="N23" s="3">
        <v>2.5000000000000001E-2</v>
      </c>
      <c r="O23" s="3">
        <v>0.05</v>
      </c>
      <c r="P23" s="3">
        <v>7.4999999999999997E-2</v>
      </c>
      <c r="Q23" s="3">
        <v>0.1</v>
      </c>
    </row>
    <row r="24" spans="6:17" x14ac:dyDescent="0.3">
      <c r="L24" s="3" t="s">
        <v>19</v>
      </c>
      <c r="M24" s="3"/>
      <c r="N24" s="3"/>
      <c r="O24" s="3"/>
      <c r="P24" s="3"/>
      <c r="Q24" s="3"/>
    </row>
    <row r="25" spans="6:17" x14ac:dyDescent="0.3">
      <c r="L25" s="3" t="s">
        <v>20</v>
      </c>
      <c r="M25" s="3"/>
      <c r="N25" s="3"/>
      <c r="O25" s="3"/>
      <c r="P25" s="3"/>
      <c r="Q25" s="3"/>
    </row>
    <row r="26" spans="6:17" x14ac:dyDescent="0.3">
      <c r="L26" s="3" t="s">
        <v>21</v>
      </c>
      <c r="M26" s="3"/>
      <c r="N26" s="3"/>
      <c r="O26" s="3"/>
      <c r="P26" s="3"/>
      <c r="Q26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B1:Q33"/>
  <sheetViews>
    <sheetView topLeftCell="A8" workbookViewId="0">
      <selection activeCell="S16" sqref="S16"/>
    </sheetView>
  </sheetViews>
  <sheetFormatPr defaultRowHeight="14.4" x14ac:dyDescent="0.3"/>
  <sheetData>
    <row r="1" spans="2:17" x14ac:dyDescent="0.3">
      <c r="F1" s="3" t="s">
        <v>9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</row>
    <row r="2" spans="2:17" x14ac:dyDescent="0.3">
      <c r="F2" s="3" t="s">
        <v>10</v>
      </c>
      <c r="G2" s="4">
        <v>0</v>
      </c>
      <c r="H2" s="4">
        <f>G2+$C$4</f>
        <v>0.01</v>
      </c>
      <c r="I2" s="4">
        <f t="shared" ref="I2:Q2" si="0">H2+$C$4</f>
        <v>0.02</v>
      </c>
      <c r="J2" s="4">
        <f t="shared" si="0"/>
        <v>0.03</v>
      </c>
      <c r="K2" s="4">
        <f t="shared" si="0"/>
        <v>0.04</v>
      </c>
      <c r="L2" s="4">
        <f t="shared" si="0"/>
        <v>0.05</v>
      </c>
      <c r="M2" s="4">
        <f t="shared" si="0"/>
        <v>6.0000000000000005E-2</v>
      </c>
      <c r="N2" s="4">
        <f t="shared" si="0"/>
        <v>7.0000000000000007E-2</v>
      </c>
      <c r="O2" s="4">
        <f t="shared" si="0"/>
        <v>0.08</v>
      </c>
      <c r="P2" s="4">
        <f t="shared" si="0"/>
        <v>0.09</v>
      </c>
      <c r="Q2" s="4">
        <f t="shared" si="0"/>
        <v>9.9999999999999992E-2</v>
      </c>
    </row>
    <row r="3" spans="2:17" x14ac:dyDescent="0.3">
      <c r="B3" s="3" t="s">
        <v>0</v>
      </c>
      <c r="C3" s="3">
        <v>0.1</v>
      </c>
      <c r="F3" s="3" t="s">
        <v>3</v>
      </c>
      <c r="G3" s="1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1">
        <v>0.04</v>
      </c>
    </row>
    <row r="4" spans="2:17" x14ac:dyDescent="0.3">
      <c r="B4" s="3" t="s">
        <v>1</v>
      </c>
      <c r="C4" s="3">
        <f>C3/10</f>
        <v>0.01</v>
      </c>
      <c r="F4" s="3" t="s">
        <v>11</v>
      </c>
      <c r="G4" s="4">
        <f>(PI()*(2*G3)^2)/4</f>
        <v>2.0106192982974676E-2</v>
      </c>
      <c r="H4" s="4">
        <f t="shared" ref="H4:Q4" si="2">(PI()*(2*H3)^2)/4</f>
        <v>1.8145839167134643E-2</v>
      </c>
      <c r="I4" s="4">
        <f t="shared" si="2"/>
        <v>1.6286016316209486E-2</v>
      </c>
      <c r="J4" s="4">
        <f t="shared" si="2"/>
        <v>1.4526724430199199E-2</v>
      </c>
      <c r="K4" s="4">
        <f t="shared" si="2"/>
        <v>1.2867963509103787E-2</v>
      </c>
      <c r="L4" s="4">
        <f t="shared" si="2"/>
        <v>1.1309733552923249E-2</v>
      </c>
      <c r="M4" s="4">
        <f t="shared" si="2"/>
        <v>9.8520345616575841E-3</v>
      </c>
      <c r="N4" s="4">
        <f t="shared" si="2"/>
        <v>8.4948665353067939E-3</v>
      </c>
      <c r="O4" s="4">
        <f t="shared" si="2"/>
        <v>7.2382294738708754E-3</v>
      </c>
      <c r="P4" s="4">
        <f t="shared" si="2"/>
        <v>6.0821233773498311E-3</v>
      </c>
      <c r="Q4" s="4">
        <f t="shared" si="2"/>
        <v>5.0265482457436689E-3</v>
      </c>
    </row>
    <row r="5" spans="2:17" x14ac:dyDescent="0.3">
      <c r="F5" s="3" t="s">
        <v>12</v>
      </c>
      <c r="G5" s="3">
        <v>17.992941676381086</v>
      </c>
      <c r="H5" s="3">
        <v>19.943611766553403</v>
      </c>
      <c r="I5" s="3">
        <v>22.231087173647417</v>
      </c>
      <c r="J5" s="3">
        <v>24.938291800040869</v>
      </c>
      <c r="K5" s="3">
        <v>28.17570558981426</v>
      </c>
      <c r="L5" s="3">
        <v>32.093403310576335</v>
      </c>
      <c r="M5" s="3">
        <v>36.899929568834999</v>
      </c>
      <c r="N5" s="3">
        <v>42.893093566219932</v>
      </c>
      <c r="O5" s="3">
        <v>50.512767866356548</v>
      </c>
      <c r="P5" s="3">
        <v>60.437481160085497</v>
      </c>
      <c r="Q5" s="3">
        <v>73.777617305492527</v>
      </c>
    </row>
    <row r="6" spans="2:17" x14ac:dyDescent="0.3">
      <c r="B6" s="3" t="s">
        <v>2</v>
      </c>
      <c r="C6" s="3">
        <v>1.4</v>
      </c>
      <c r="F6" s="3" t="s">
        <v>6</v>
      </c>
      <c r="G6" s="3">
        <v>104794.74978693524</v>
      </c>
      <c r="H6" s="3">
        <v>104745.43830863884</v>
      </c>
      <c r="I6" s="3">
        <v>104681.00910737625</v>
      </c>
      <c r="J6" s="3">
        <v>104595.52320513381</v>
      </c>
      <c r="K6" s="3">
        <v>104480.11692227695</v>
      </c>
      <c r="L6" s="3">
        <v>104321.2185047018</v>
      </c>
      <c r="M6" s="3">
        <v>104097.42556139878</v>
      </c>
      <c r="N6" s="3">
        <v>103773.80166396016</v>
      </c>
      <c r="O6" s="3">
        <v>103290.9151924099</v>
      </c>
      <c r="P6" s="3">
        <v>102542.39464998133</v>
      </c>
      <c r="Q6" s="3">
        <v>101325</v>
      </c>
    </row>
    <row r="7" spans="2:17" x14ac:dyDescent="0.3">
      <c r="B7" s="3" t="s">
        <v>3</v>
      </c>
      <c r="C7" s="3">
        <v>286.97199999999998</v>
      </c>
      <c r="F7" s="3" t="s">
        <v>13</v>
      </c>
      <c r="G7" s="3">
        <v>1.2679708454064076</v>
      </c>
      <c r="H7" s="3">
        <v>1.2675363322070958</v>
      </c>
      <c r="I7" s="3">
        <v>1.2669679685014874</v>
      </c>
      <c r="J7" s="3">
        <v>1.2662128901164975</v>
      </c>
      <c r="K7" s="3">
        <v>1.2651920400832439</v>
      </c>
      <c r="L7" s="3">
        <v>1.2637840821766579</v>
      </c>
      <c r="M7" s="3">
        <v>1.2617971295954824</v>
      </c>
      <c r="N7" s="3">
        <v>1.2589168707816327</v>
      </c>
      <c r="O7" s="3">
        <v>1.254606301575004</v>
      </c>
      <c r="P7" s="3">
        <v>1.2478988894513956</v>
      </c>
      <c r="Q7" s="3">
        <v>1.2369339278841953</v>
      </c>
    </row>
    <row r="8" spans="2:17" x14ac:dyDescent="0.3">
      <c r="B8" s="3" t="s">
        <v>4</v>
      </c>
      <c r="C8" s="3">
        <v>1004.4</v>
      </c>
    </row>
    <row r="10" spans="2:17" x14ac:dyDescent="0.3">
      <c r="B10" s="3" t="s">
        <v>5</v>
      </c>
      <c r="C10" s="3">
        <v>105000</v>
      </c>
      <c r="F10" s="3" t="s">
        <v>14</v>
      </c>
      <c r="G10" s="4">
        <f t="shared" ref="G10:Q10" si="3">G4*G7*G13</f>
        <v>0.45871325030348642</v>
      </c>
      <c r="H10" s="4">
        <f t="shared" si="3"/>
        <v>0.45871324872221131</v>
      </c>
      <c r="I10" s="4">
        <f t="shared" si="3"/>
        <v>0.45871316152426439</v>
      </c>
      <c r="J10" s="4">
        <f t="shared" si="3"/>
        <v>0.45871308612899819</v>
      </c>
      <c r="K10" s="4">
        <f t="shared" si="3"/>
        <v>0.45871302463939795</v>
      </c>
      <c r="L10" s="4">
        <f t="shared" si="3"/>
        <v>0.45871297842879383</v>
      </c>
      <c r="M10" s="4">
        <f t="shared" si="3"/>
        <v>0.45871294775317539</v>
      </c>
      <c r="N10" s="4">
        <f t="shared" si="3"/>
        <v>0.45871293136255625</v>
      </c>
      <c r="O10" s="4">
        <f t="shared" si="3"/>
        <v>0.45871292624911958</v>
      </c>
      <c r="P10" s="4">
        <f t="shared" si="3"/>
        <v>0.45871292778383282</v>
      </c>
      <c r="Q10" s="4">
        <f t="shared" si="3"/>
        <v>0.45871293060824231</v>
      </c>
    </row>
    <row r="11" spans="2:17" x14ac:dyDescent="0.3">
      <c r="B11" s="3" t="s">
        <v>7</v>
      </c>
      <c r="C11" s="3">
        <v>288.16000000000003</v>
      </c>
      <c r="F11" s="3" t="s">
        <v>15</v>
      </c>
      <c r="G11" s="5">
        <v>0</v>
      </c>
      <c r="H11" s="5">
        <f>(H13)*(H10-I10)</f>
        <v>1.7390419941899182E-6</v>
      </c>
      <c r="I11" s="5">
        <f t="shared" ref="I11:P11" si="4">(I13)*(I10-J10)</f>
        <v>1.6761187307216618E-6</v>
      </c>
      <c r="J11" s="5">
        <f t="shared" si="4"/>
        <v>1.5334455904270977E-6</v>
      </c>
      <c r="K11" s="5">
        <f t="shared" si="4"/>
        <v>1.3020163749713514E-6</v>
      </c>
      <c r="L11" s="5">
        <f t="shared" si="4"/>
        <v>9.8448499331123097E-7</v>
      </c>
      <c r="M11" s="5">
        <f t="shared" si="4"/>
        <v>6.0481269153359835E-7</v>
      </c>
      <c r="N11" s="5">
        <f t="shared" si="4"/>
        <v>2.1933111765261487E-7</v>
      </c>
      <c r="O11" s="5">
        <f t="shared" si="4"/>
        <v>-7.7522613897235516E-8</v>
      </c>
      <c r="P11" s="5">
        <f t="shared" si="4"/>
        <v>-1.7070019497229668E-7</v>
      </c>
      <c r="Q11" s="1">
        <v>0</v>
      </c>
    </row>
    <row r="12" spans="2:17" x14ac:dyDescent="0.3">
      <c r="B12" s="3" t="s">
        <v>6</v>
      </c>
      <c r="C12" s="3">
        <v>101325</v>
      </c>
    </row>
    <row r="13" spans="2:17" x14ac:dyDescent="0.3">
      <c r="F13" s="3" t="s">
        <v>12</v>
      </c>
      <c r="G13" s="1">
        <f>(H4*H5*H7)/(G4*G7)</f>
        <v>17.992941614163708</v>
      </c>
      <c r="H13" s="6">
        <f t="shared" ref="H13:P13" si="5">((G6-H6)/H7+G5*H5)^0.5</f>
        <v>19.943611697803838</v>
      </c>
      <c r="I13" s="6">
        <f t="shared" si="5"/>
        <v>22.231087112865424</v>
      </c>
      <c r="J13" s="6">
        <f t="shared" si="5"/>
        <v>24.93829174885219</v>
      </c>
      <c r="K13" s="6">
        <f t="shared" si="5"/>
        <v>28.175705549346908</v>
      </c>
      <c r="L13" s="6">
        <f t="shared" si="5"/>
        <v>32.093403281185275</v>
      </c>
      <c r="M13" s="6">
        <f t="shared" si="5"/>
        <v>36.899929549827299</v>
      </c>
      <c r="N13" s="6">
        <f t="shared" si="5"/>
        <v>42.893093555672962</v>
      </c>
      <c r="O13" s="6">
        <f t="shared" si="5"/>
        <v>50.512767861201937</v>
      </c>
      <c r="P13" s="6">
        <f t="shared" si="5"/>
        <v>60.43748115670089</v>
      </c>
      <c r="Q13" s="6">
        <f>((P6-Q6)/Q7+P5*Q5)^0.5</f>
        <v>73.777617301021252</v>
      </c>
    </row>
    <row r="14" spans="2:17" x14ac:dyDescent="0.3">
      <c r="B14" s="3" t="s">
        <v>8</v>
      </c>
      <c r="C14" s="3">
        <v>2000</v>
      </c>
      <c r="F14" s="3" t="s">
        <v>6</v>
      </c>
      <c r="G14" s="9">
        <f>C10-(G7*G13^2)/2</f>
        <v>104794.74978835271</v>
      </c>
      <c r="H14" s="8">
        <f>H6+H11</f>
        <v>104745.43831037788</v>
      </c>
      <c r="I14" s="8">
        <f t="shared" ref="I14:Q14" si="6">I6+I11</f>
        <v>104681.00910905236</v>
      </c>
      <c r="J14" s="8">
        <f t="shared" si="6"/>
        <v>104595.52320666726</v>
      </c>
      <c r="K14" s="8">
        <f t="shared" si="6"/>
        <v>104480.11692357897</v>
      </c>
      <c r="L14" s="8">
        <f t="shared" si="6"/>
        <v>104321.21850568628</v>
      </c>
      <c r="M14" s="8">
        <f t="shared" si="6"/>
        <v>104097.42556200358</v>
      </c>
      <c r="N14" s="8">
        <f t="shared" si="6"/>
        <v>103773.80166417948</v>
      </c>
      <c r="O14" s="8">
        <f t="shared" si="6"/>
        <v>103290.91519233238</v>
      </c>
      <c r="P14" s="8">
        <f t="shared" si="6"/>
        <v>102542.39464981064</v>
      </c>
      <c r="Q14" s="8">
        <f t="shared" si="6"/>
        <v>101325</v>
      </c>
    </row>
    <row r="15" spans="2:17" x14ac:dyDescent="0.3">
      <c r="F15" s="3" t="s">
        <v>13</v>
      </c>
      <c r="G15" s="3">
        <f>G14/($C$7*G17)</f>
        <v>1.2679708454186513</v>
      </c>
      <c r="H15" s="3">
        <f t="shared" ref="H15:Q15" si="7">H14/($C$7*H17)</f>
        <v>1.2675363322221311</v>
      </c>
      <c r="I15" s="3">
        <f t="shared" si="7"/>
        <v>1.2669679685158537</v>
      </c>
      <c r="J15" s="3">
        <f t="shared" si="7"/>
        <v>1.2662128901294705</v>
      </c>
      <c r="K15" s="3">
        <f t="shared" si="7"/>
        <v>1.2651920400940195</v>
      </c>
      <c r="L15" s="3">
        <f t="shared" si="7"/>
        <v>1.2637840821844581</v>
      </c>
      <c r="M15" s="3">
        <f t="shared" si="7"/>
        <v>1.2617971295997485</v>
      </c>
      <c r="N15" s="3">
        <f t="shared" si="7"/>
        <v>1.2589168707823193</v>
      </c>
      <c r="O15" s="3">
        <f t="shared" si="7"/>
        <v>1.2546063015729285</v>
      </c>
      <c r="P15" s="3">
        <f t="shared" si="7"/>
        <v>1.2478988894484311</v>
      </c>
      <c r="Q15" s="3">
        <f t="shared" si="7"/>
        <v>1.236933927882772</v>
      </c>
    </row>
    <row r="17" spans="6:17" x14ac:dyDescent="0.3">
      <c r="F17" s="3" t="s">
        <v>16</v>
      </c>
      <c r="G17" s="6">
        <f>$C$11-(G13^2)/(2*$C$8)</f>
        <v>287.99883614698791</v>
      </c>
      <c r="H17" s="6">
        <f t="shared" ref="H17:Q17" si="8">$C$11-(H13^2)/(2*$C$8)</f>
        <v>287.9619973877177</v>
      </c>
      <c r="I17" s="6">
        <f t="shared" si="8"/>
        <v>287.9139719065015</v>
      </c>
      <c r="J17" s="6">
        <f t="shared" si="8"/>
        <v>287.85040302899699</v>
      </c>
      <c r="K17" s="6">
        <f t="shared" si="8"/>
        <v>287.76480367224042</v>
      </c>
      <c r="L17" s="6">
        <f t="shared" si="8"/>
        <v>287.64726277669814</v>
      </c>
      <c r="M17" s="6">
        <f t="shared" si="8"/>
        <v>287.48218000757561</v>
      </c>
      <c r="N17" s="6">
        <f t="shared" si="8"/>
        <v>287.24412112964177</v>
      </c>
      <c r="O17" s="6">
        <f t="shared" si="8"/>
        <v>286.88981893817225</v>
      </c>
      <c r="P17" s="6">
        <f t="shared" si="8"/>
        <v>286.34165614866259</v>
      </c>
      <c r="Q17" s="6">
        <f t="shared" si="8"/>
        <v>285.4503540349383</v>
      </c>
    </row>
    <row r="18" spans="6:17" x14ac:dyDescent="0.3">
      <c r="F18" s="3" t="s">
        <v>17</v>
      </c>
      <c r="G18" s="7">
        <f>SQRT($C$6*$C$7*G17)</f>
        <v>340.15679150868465</v>
      </c>
      <c r="H18" s="7">
        <f t="shared" ref="H18:Q18" si="9">SQRT($C$6*$C$7*H17)</f>
        <v>340.13503559628691</v>
      </c>
      <c r="I18" s="7">
        <f t="shared" si="9"/>
        <v>340.10667103768128</v>
      </c>
      <c r="J18" s="7">
        <f t="shared" si="9"/>
        <v>340.06912268133408</v>
      </c>
      <c r="K18" s="7">
        <f t="shared" si="9"/>
        <v>340.01855498663929</v>
      </c>
      <c r="L18" s="7">
        <f t="shared" si="9"/>
        <v>339.94910561873297</v>
      </c>
      <c r="M18" s="7">
        <f t="shared" si="9"/>
        <v>339.85154203797219</v>
      </c>
      <c r="N18" s="7">
        <f t="shared" si="9"/>
        <v>339.71080038812687</v>
      </c>
      <c r="O18" s="7">
        <f t="shared" si="9"/>
        <v>339.50122704999939</v>
      </c>
      <c r="P18" s="7">
        <f t="shared" si="9"/>
        <v>339.17672804544179</v>
      </c>
      <c r="Q18" s="7">
        <f t="shared" si="9"/>
        <v>338.6484351024821</v>
      </c>
    </row>
    <row r="19" spans="6:17" x14ac:dyDescent="0.3">
      <c r="F19" s="3" t="s">
        <v>18</v>
      </c>
      <c r="G19" s="5">
        <f>G13/G18</f>
        <v>5.2896023431901182E-2</v>
      </c>
      <c r="H19" s="5">
        <f t="shared" ref="H19:P19" si="10">H13/H18</f>
        <v>5.8634394021894617E-2</v>
      </c>
      <c r="I19" s="5">
        <f t="shared" si="10"/>
        <v>6.5365042811531285E-2</v>
      </c>
      <c r="J19" s="5">
        <f t="shared" si="10"/>
        <v>7.3333008160875929E-2</v>
      </c>
      <c r="K19" s="5">
        <f t="shared" si="10"/>
        <v>8.2865199960790517E-2</v>
      </c>
      <c r="L19" s="5">
        <f t="shared" si="10"/>
        <v>9.4406494239109309E-2</v>
      </c>
      <c r="M19" s="5">
        <f t="shared" si="10"/>
        <v>0.10857661356647429</v>
      </c>
      <c r="N19" s="5">
        <f t="shared" si="10"/>
        <v>0.1262635556675463</v>
      </c>
      <c r="O19" s="5">
        <f t="shared" si="10"/>
        <v>0.14878522914370135</v>
      </c>
      <c r="P19" s="5">
        <f t="shared" si="10"/>
        <v>0.17818876166705538</v>
      </c>
      <c r="Q19" s="5">
        <f>Q13/Q18</f>
        <v>0.21785902326315076</v>
      </c>
    </row>
    <row r="20" spans="6:17" x14ac:dyDescent="0.3">
      <c r="F20" s="3" t="s">
        <v>22</v>
      </c>
      <c r="G20" s="3">
        <f>1-((($C$6-1)/($C$6+1))*G21^2)</f>
        <v>0.99944351621237948</v>
      </c>
      <c r="H20" s="3">
        <f t="shared" ref="H20:Q20" si="11">1-((($C$6-1)/($C$6+1))*H21^2)</f>
        <v>0.99931709719650907</v>
      </c>
      <c r="I20" s="3">
        <f t="shared" si="11"/>
        <v>0.99915272237348129</v>
      </c>
      <c r="J20" s="3">
        <f t="shared" si="11"/>
        <v>0.99893589888002998</v>
      </c>
      <c r="K20" s="3">
        <f t="shared" si="11"/>
        <v>0.99864527652755841</v>
      </c>
      <c r="L20" s="3">
        <f t="shared" si="11"/>
        <v>0.99824869999347732</v>
      </c>
      <c r="M20" s="3">
        <f t="shared" si="11"/>
        <v>0.99769653436193917</v>
      </c>
      <c r="N20" s="3">
        <f t="shared" si="11"/>
        <v>0.99691002661378492</v>
      </c>
      <c r="O20" s="3">
        <f t="shared" si="11"/>
        <v>0.99576029997329518</v>
      </c>
      <c r="P20" s="3">
        <f t="shared" si="11"/>
        <v>0.99402893069024845</v>
      </c>
      <c r="Q20" s="3">
        <f t="shared" si="11"/>
        <v>0.9913304474125394</v>
      </c>
    </row>
    <row r="21" spans="6:17" x14ac:dyDescent="0.3">
      <c r="F21" s="3" t="s">
        <v>24</v>
      </c>
      <c r="G21" s="3">
        <f>SQRT(((($C$6+1)/2)*G19^2)/(1+2*G19^2))</f>
        <v>5.7783239141841636E-2</v>
      </c>
      <c r="H21" s="3">
        <f>SQRT(((($C$6+1)/2)*H19^2)/(1+2*H19^2))</f>
        <v>6.4011067956607742E-2</v>
      </c>
      <c r="I21" s="3">
        <f t="shared" ref="I21:Q21" si="12">SQRT(((($C$6+1)/2)*I19^2)/(1+2*I19^2))</f>
        <v>7.1299830007596487E-2</v>
      </c>
      <c r="J21" s="3">
        <f t="shared" si="12"/>
        <v>7.9903734079326924E-2</v>
      </c>
      <c r="K21" s="3">
        <f t="shared" si="12"/>
        <v>9.0157311598392034E-2</v>
      </c>
      <c r="L21" s="3">
        <f t="shared" si="12"/>
        <v>0.10250756088765479</v>
      </c>
      <c r="M21" s="3">
        <f t="shared" si="12"/>
        <v>0.1175618723411847</v>
      </c>
      <c r="N21" s="3">
        <f t="shared" si="12"/>
        <v>0.13616108224191753</v>
      </c>
      <c r="O21" s="3">
        <f t="shared" si="12"/>
        <v>0.15949357404055239</v>
      </c>
      <c r="P21" s="3">
        <f t="shared" si="12"/>
        <v>0.1892786724871808</v>
      </c>
      <c r="Q21" s="3">
        <f t="shared" si="12"/>
        <v>0.22807304865933609</v>
      </c>
    </row>
    <row r="22" spans="6:17" x14ac:dyDescent="0.3">
      <c r="F22" s="3" t="s">
        <v>23</v>
      </c>
      <c r="G22" s="3">
        <f>(1-((($C$6-1)/($C$6+1))*G21^2))^($C$6/($C$6-1))</f>
        <v>0.99805366119103622</v>
      </c>
      <c r="H22" s="3">
        <f t="shared" ref="H22:Q22" si="13">(1-((($C$6-1)/($C$6+1))*H21^2))^($C$6/($C$6-1))</f>
        <v>0.99761187979972077</v>
      </c>
      <c r="I22" s="3">
        <f t="shared" si="13"/>
        <v>0.99703766769906532</v>
      </c>
      <c r="J22" s="3">
        <f t="shared" si="13"/>
        <v>0.99628059730622243</v>
      </c>
      <c r="K22" s="3">
        <f t="shared" si="13"/>
        <v>0.99526649173974358</v>
      </c>
      <c r="L22" s="3">
        <f t="shared" si="13"/>
        <v>0.99388385658120759</v>
      </c>
      <c r="M22" s="3">
        <f t="shared" si="13"/>
        <v>0.99196105708719384</v>
      </c>
      <c r="N22" s="3">
        <f t="shared" si="13"/>
        <v>0.98922680085359438</v>
      </c>
      <c r="O22" s="3">
        <f t="shared" si="13"/>
        <v>0.98523952415945115</v>
      </c>
      <c r="P22" s="3">
        <f t="shared" si="13"/>
        <v>0.97925677686620971</v>
      </c>
      <c r="Q22" s="3">
        <f t="shared" si="13"/>
        <v>0.96998397208200071</v>
      </c>
    </row>
    <row r="23" spans="6:17" x14ac:dyDescent="0.3">
      <c r="F23" s="3" t="s">
        <v>5</v>
      </c>
      <c r="G23" s="3">
        <f>G14/G22</f>
        <v>104999.11363813341</v>
      </c>
      <c r="H23" s="3">
        <f t="shared" ref="H23:Q23" si="14">H14/H22</f>
        <v>104996.18181311798</v>
      </c>
      <c r="I23" s="3">
        <f t="shared" si="14"/>
        <v>104992.03039202337</v>
      </c>
      <c r="J23" s="3">
        <f t="shared" si="14"/>
        <v>104986.00844930255</v>
      </c>
      <c r="K23" s="3">
        <f t="shared" si="14"/>
        <v>104977.02654587101</v>
      </c>
      <c r="L23" s="3">
        <f t="shared" si="14"/>
        <v>104963.18841975523</v>
      </c>
      <c r="M23" s="3">
        <f t="shared" si="14"/>
        <v>104941.04059656989</v>
      </c>
      <c r="N23" s="3">
        <f t="shared" si="14"/>
        <v>104903.95283936309</v>
      </c>
      <c r="O23" s="3">
        <f t="shared" si="14"/>
        <v>104838.37956100488</v>
      </c>
      <c r="P23" s="3">
        <f t="shared" si="14"/>
        <v>104714.51111930412</v>
      </c>
      <c r="Q23" s="3">
        <f t="shared" si="14"/>
        <v>104460.4889527331</v>
      </c>
    </row>
    <row r="30" spans="6:17" x14ac:dyDescent="0.3">
      <c r="L30" s="3"/>
      <c r="M30" s="3">
        <v>0</v>
      </c>
      <c r="N30" s="3">
        <v>2.5000000000000001E-2</v>
      </c>
      <c r="O30" s="3">
        <v>0.05</v>
      </c>
      <c r="P30" s="3">
        <v>7.4999999999999997E-2</v>
      </c>
      <c r="Q30" s="3">
        <v>0.1</v>
      </c>
    </row>
    <row r="31" spans="6:17" x14ac:dyDescent="0.3">
      <c r="L31" s="3" t="s">
        <v>19</v>
      </c>
      <c r="M31" s="3"/>
      <c r="N31" s="3"/>
      <c r="O31" s="3"/>
      <c r="P31" s="3"/>
      <c r="Q31" s="3"/>
    </row>
    <row r="32" spans="6:17" x14ac:dyDescent="0.3">
      <c r="L32" s="3" t="s">
        <v>20</v>
      </c>
      <c r="M32" s="3"/>
      <c r="N32" s="3"/>
      <c r="O32" s="3"/>
      <c r="P32" s="3"/>
      <c r="Q32" s="3"/>
    </row>
    <row r="33" spans="12:17" x14ac:dyDescent="0.3">
      <c r="L33" s="3" t="s">
        <v>21</v>
      </c>
      <c r="M33" s="3"/>
      <c r="N33" s="3"/>
      <c r="O33" s="3"/>
      <c r="P33" s="3"/>
      <c r="Q33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ro_const_p_135</vt:lpstr>
      <vt:lpstr>ro_var_p_135</vt:lpstr>
      <vt:lpstr>ro_const_p_105</vt:lpstr>
      <vt:lpstr>ro_var_p_105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Polina Zhdanova</dc:creator>
  <cp:lastModifiedBy>Polina Zhdanova</cp:lastModifiedBy>
  <dcterms:created xsi:type="dcterms:W3CDTF">2021-04-17T09:35:51Z</dcterms:created>
  <dcterms:modified xsi:type="dcterms:W3CDTF">2021-05-20T18:11:14Z</dcterms:modified>
</cp:coreProperties>
</file>